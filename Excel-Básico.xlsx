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fabi0\Downloads\Curso-Excel\"/>
    </mc:Choice>
  </mc:AlternateContent>
  <xr:revisionPtr revIDLastSave="0" documentId="13_ncr:1_{95DE4D77-FEA9-4781-A41C-B77FA7EDDBF4}" xr6:coauthVersionLast="46" xr6:coauthVersionMax="46" xr10:uidLastSave="{00000000-0000-0000-0000-000000000000}"/>
  <bookViews>
    <workbookView xWindow="4875" yWindow="4875" windowWidth="10155" windowHeight="4800" xr2:uid="{00000000-000D-0000-FFFF-FFFF00000000}"/>
  </bookViews>
  <sheets>
    <sheet name="PPTX" sheetId="2" r:id="rId1"/>
    <sheet name="EJERCICIO 1" sheetId="1" r:id="rId2"/>
    <sheet name="EJERCICIO 2" sheetId="3" r:id="rId3"/>
    <sheet name="EJERCICIO 3" sheetId="4" r:id="rId4"/>
    <sheet name="EJERCICIO 4" sheetId="5" r:id="rId5"/>
    <sheet name="EJERCICIO 5" sheetId="6" r:id="rId6"/>
    <sheet name="EJERCICIO 6" sheetId="8" r:id="rId7"/>
    <sheet name="EJERCICIO 7" sheetId="9" r:id="rId8"/>
    <sheet name="EJERCICIO 8" sheetId="10" r:id="rId9"/>
    <sheet name="EJERCICIO 9" sheetId="1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1" l="1"/>
  <c r="F4" i="11"/>
  <c r="F3" i="11"/>
  <c r="F2" i="11"/>
  <c r="E3" i="11"/>
  <c r="E4" i="11"/>
  <c r="E5" i="11"/>
  <c r="E2" i="11"/>
  <c r="D3" i="11"/>
  <c r="D4" i="11"/>
  <c r="D5" i="11"/>
  <c r="D2" i="11"/>
  <c r="H3" i="10"/>
  <c r="H4" i="10"/>
  <c r="H5" i="10"/>
  <c r="H2" i="10"/>
  <c r="G3" i="10"/>
  <c r="G4" i="10"/>
  <c r="G5" i="10"/>
  <c r="G2" i="10"/>
  <c r="F3" i="10"/>
  <c r="F4" i="10"/>
  <c r="F5" i="10"/>
  <c r="F2" i="10"/>
  <c r="E3" i="10"/>
  <c r="E4" i="10"/>
  <c r="E5" i="10"/>
  <c r="E2" i="10"/>
  <c r="D3" i="10"/>
  <c r="D4" i="10"/>
  <c r="D5" i="10"/>
  <c r="D2" i="10"/>
  <c r="F3" i="9"/>
  <c r="F4" i="9"/>
  <c r="F5" i="9"/>
  <c r="F2" i="9"/>
  <c r="E3" i="9"/>
  <c r="E4" i="9"/>
  <c r="E5" i="9"/>
  <c r="E2" i="9"/>
  <c r="I31" i="8"/>
  <c r="I30" i="8"/>
  <c r="I27" i="8"/>
  <c r="I26" i="8"/>
  <c r="J22" i="8"/>
  <c r="J23" i="8"/>
  <c r="J21" i="8"/>
  <c r="I23" i="8"/>
  <c r="I22" i="8"/>
  <c r="I21" i="8"/>
  <c r="I17" i="8"/>
  <c r="I16" i="8"/>
  <c r="I13" i="8"/>
  <c r="I12" i="8"/>
  <c r="J9" i="8"/>
  <c r="K9" i="8"/>
  <c r="I9" i="8"/>
  <c r="I8" i="8"/>
  <c r="I5" i="8"/>
  <c r="I4" i="8"/>
  <c r="J3" i="8"/>
  <c r="K3" i="8"/>
  <c r="I3" i="8"/>
  <c r="I2" i="8"/>
  <c r="E2" i="6"/>
  <c r="G3" i="6"/>
  <c r="G4" i="6"/>
  <c r="G5" i="6"/>
  <c r="G2" i="6"/>
  <c r="H3" i="6"/>
  <c r="H4" i="6"/>
  <c r="H5" i="6"/>
  <c r="E3" i="6"/>
  <c r="E4" i="6"/>
  <c r="E5" i="6"/>
  <c r="F5" i="6" s="1"/>
  <c r="H2" i="6"/>
  <c r="F3" i="6"/>
  <c r="F4" i="6"/>
  <c r="D2" i="5"/>
  <c r="E2" i="5"/>
  <c r="F2" i="5"/>
  <c r="D3" i="5"/>
  <c r="E3" i="5"/>
  <c r="F3" i="5"/>
  <c r="D4" i="5"/>
  <c r="E4" i="5"/>
  <c r="F4" i="5"/>
  <c r="D5" i="5"/>
  <c r="E5" i="5"/>
  <c r="F5" i="5"/>
  <c r="C3" i="5"/>
  <c r="C4" i="5"/>
  <c r="C5" i="5"/>
  <c r="C2" i="5"/>
  <c r="C3" i="4"/>
  <c r="C4" i="4"/>
  <c r="C2" i="4"/>
  <c r="J3" i="3"/>
  <c r="J4" i="3"/>
  <c r="J5" i="3"/>
  <c r="J2" i="3"/>
  <c r="I3" i="3"/>
  <c r="I4" i="3"/>
  <c r="I5" i="3"/>
  <c r="I2" i="3"/>
  <c r="D3" i="3"/>
  <c r="D4" i="3"/>
  <c r="D5" i="3"/>
  <c r="D2" i="3"/>
  <c r="F2" i="6" l="1"/>
</calcChain>
</file>

<file path=xl/sharedStrings.xml><?xml version="1.0" encoding="utf-8"?>
<sst xmlns="http://schemas.openxmlformats.org/spreadsheetml/2006/main" count="162" uniqueCount="112">
  <si>
    <t>DNI</t>
  </si>
  <si>
    <t>PERSONAL</t>
  </si>
  <si>
    <t>FECHA DE CONTRATACIÓN</t>
  </si>
  <si>
    <t>REMUNERACIÓN</t>
  </si>
  <si>
    <t>29134782T</t>
  </si>
  <si>
    <t>ANA ROJAS</t>
  </si>
  <si>
    <t>MANUEL RIVAS</t>
  </si>
  <si>
    <t>29134782R</t>
  </si>
  <si>
    <t>MARIA GOMEZ</t>
  </si>
  <si>
    <t>29134782E</t>
  </si>
  <si>
    <t>29134782F</t>
  </si>
  <si>
    <t>RICARDO SANCHEZ</t>
  </si>
  <si>
    <t>ANA</t>
  </si>
  <si>
    <t>ROJAS</t>
  </si>
  <si>
    <t>MANUEL</t>
  </si>
  <si>
    <t>RIVAS</t>
  </si>
  <si>
    <t>MARIA</t>
  </si>
  <si>
    <t>GOMEZ</t>
  </si>
  <si>
    <t>RICARDO</t>
  </si>
  <si>
    <t>SANCHEZ</t>
  </si>
  <si>
    <t>NOMBRE</t>
  </si>
  <si>
    <t>APELLIDO</t>
  </si>
  <si>
    <t>SALDO MENSUAL</t>
  </si>
  <si>
    <t>29134782H</t>
  </si>
  <si>
    <t>MARCO ANTONIO</t>
  </si>
  <si>
    <t>PABLO ESCOBAR</t>
  </si>
  <si>
    <t>29134782M</t>
  </si>
  <si>
    <t>PRODUCTO</t>
  </si>
  <si>
    <t>PRECIO</t>
  </si>
  <si>
    <t>DESCUENTO</t>
  </si>
  <si>
    <t>PRECIO TOTAL</t>
  </si>
  <si>
    <t>A</t>
  </si>
  <si>
    <t>B</t>
  </si>
  <si>
    <t>C</t>
  </si>
  <si>
    <t>D</t>
  </si>
  <si>
    <t>PRECIO UNITARIO</t>
  </si>
  <si>
    <t>CANTIDAD</t>
  </si>
  <si>
    <t>MARGEN</t>
  </si>
  <si>
    <t>PRECIO TOTAL = PRECIO - DESCUENTO</t>
  </si>
  <si>
    <t>CANTIDAD DESCONTADA = PRECIO * DESCUENTO</t>
  </si>
  <si>
    <t>PRECIO TOTAL = PRECIO - PRECIO * DESCUENTO</t>
  </si>
  <si>
    <t>MARGEN = INGRESO - COSTO TOTAL</t>
  </si>
  <si>
    <t>INGRESO = PRECIO DESCONTADO * CANTIDAD</t>
  </si>
  <si>
    <t>COSTO TOTAL = COSTO DESCONTADO  * CANTIDAD</t>
  </si>
  <si>
    <t>MARGEN = (PRECIO DESCONTADO * CANTIDAD) - (COSTO DESCONTADO * CANTIDAD)</t>
  </si>
  <si>
    <t>MARGEN = CANTIDAD * (PRECIO DESCONTADO - COSTO DESCONTADO)</t>
  </si>
  <si>
    <t>E</t>
  </si>
  <si>
    <t>PRECIO DESCONTADO</t>
  </si>
  <si>
    <t>COSTO UNITARIO</t>
  </si>
  <si>
    <t>GASTO TOTAL</t>
  </si>
  <si>
    <t>TASA DESCUENTO TOTAL</t>
  </si>
  <si>
    <t>TASA DESCUENTO COSTO</t>
  </si>
  <si>
    <t>PUNTO EQUILIBRIO</t>
  </si>
  <si>
    <t>INGRESO</t>
  </si>
  <si>
    <t>COSTO TOTAL</t>
  </si>
  <si>
    <t>P.E = GASTO INICIAL / PRECIO DESCONTADO - COSTO DESCONTADO</t>
  </si>
  <si>
    <t>COSTO TOTAL = COSTO DESCONTADO * P.E</t>
  </si>
  <si>
    <t>UNIDAD = INGRESO - COSTO TOTAL - GASTO</t>
  </si>
  <si>
    <t>INGRESO = PRECIO DESCONTADO * P.E</t>
  </si>
  <si>
    <t>UNIDAD</t>
  </si>
  <si>
    <t>VENDEDORES</t>
  </si>
  <si>
    <t>ALMACÉN 3</t>
  </si>
  <si>
    <t>ALMACÉN 2</t>
  </si>
  <si>
    <t>ALMACÉN 1</t>
  </si>
  <si>
    <t>JUAN</t>
  </si>
  <si>
    <t>JOSÉ</t>
  </si>
  <si>
    <t>MARÍA</t>
  </si>
  <si>
    <t>KAREN</t>
  </si>
  <si>
    <t>TOTAL</t>
  </si>
  <si>
    <t>X ALMACÉN</t>
  </si>
  <si>
    <t>ALMACÉN 1 Y 3</t>
  </si>
  <si>
    <t>JUAN Y MARÍA</t>
  </si>
  <si>
    <t>PROMEDIO</t>
  </si>
  <si>
    <t>PROMEDIO POR ALMACEN</t>
  </si>
  <si>
    <t>VENTA MÁXIMA</t>
  </si>
  <si>
    <t>VENTA MÍNIMA</t>
  </si>
  <si>
    <t>2° VENTA MAYOR</t>
  </si>
  <si>
    <t>POSICIÓN</t>
  </si>
  <si>
    <t>MAYOR</t>
  </si>
  <si>
    <t>MENOR</t>
  </si>
  <si>
    <t>2° VENTA MENOR</t>
  </si>
  <si>
    <t>RECUENTO</t>
  </si>
  <si>
    <t>EN BLANCO</t>
  </si>
  <si>
    <t>VENTAS MAYORES QUE 100</t>
  </si>
  <si>
    <t>VENTAS MENOR O IGUAL QUE 50</t>
  </si>
  <si>
    <t>ESTUDIANTES</t>
  </si>
  <si>
    <t>NOTA 2</t>
  </si>
  <si>
    <t>NOTA 1</t>
  </si>
  <si>
    <t>NOTA 3</t>
  </si>
  <si>
    <t>MEDIA</t>
  </si>
  <si>
    <t>ELENA</t>
  </si>
  <si>
    <t>EVALUACIÓN</t>
  </si>
  <si>
    <t>CIUDAD</t>
  </si>
  <si>
    <t>VENTAS</t>
  </si>
  <si>
    <t>SEVILLA</t>
  </si>
  <si>
    <t>MADRID</t>
  </si>
  <si>
    <t>COMISIÓN</t>
  </si>
  <si>
    <t>CONDICIÓN</t>
  </si>
  <si>
    <t>MAYOR 150</t>
  </si>
  <si>
    <t>VENTAS 180-300</t>
  </si>
  <si>
    <t>COMISIÓN 2</t>
  </si>
  <si>
    <t>COMISIÓN 3</t>
  </si>
  <si>
    <t>COMISIÓN 4</t>
  </si>
  <si>
    <t>BARCELONA</t>
  </si>
  <si>
    <t>COMISIÓN 5</t>
  </si>
  <si>
    <t>VENTA MAYOR 150</t>
  </si>
  <si>
    <t>COMISIÓN 1</t>
  </si>
  <si>
    <t>VENTAS MAYORES O IGUAL 650</t>
  </si>
  <si>
    <t>VENTAS ENTRE 600-1300 Y SEVILLA O BARCELONA</t>
  </si>
  <si>
    <t>VENTAS SEVILLA ENTRE 700-1200</t>
  </si>
  <si>
    <t>VENTAS MADRID ENTRE 700-1200</t>
  </si>
  <si>
    <t>VENTAS BARCELONA ENTRE 700-1200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</si>
</sst>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4" borderId="1" xfId="0" applyFill="1" applyBorder="1" applyAlignment="1">
      <alignment horizontal="center"/>
    </xf>
    <xf numFmtId="9" fontId="0" fillId="0" borderId="0" xfId="0" applyNumberFormat="1"/>
    <xf numFmtId="164" fontId="0" fillId="4" borderId="1" xfId="0" applyNumberFormat="1" applyFill="1" applyBorder="1" applyAlignment="1">
      <alignment horizontal="center"/>
    </xf>
    <xf numFmtId="9" fontId="0" fillId="0" borderId="1" xfId="0" applyNumberFormat="1" applyBorder="1"/>
    <xf numFmtId="0" fontId="1" fillId="0" borderId="0" xfId="0" applyFont="1"/>
    <xf numFmtId="0" fontId="0" fillId="4" borderId="2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/>
    <xf numFmtId="2" fontId="0" fillId="0" borderId="1" xfId="0" applyNumberFormat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1" fillId="0" borderId="4" xfId="0" applyFont="1" applyBorder="1"/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164" fontId="0" fillId="0" borderId="10" xfId="0" applyNumberFormat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15614</xdr:colOff>
      <xdr:row>2</xdr:row>
      <xdr:rowOff>78072</xdr:rowOff>
    </xdr:from>
    <xdr:to>
      <xdr:col>13</xdr:col>
      <xdr:colOff>136785</xdr:colOff>
      <xdr:row>20</xdr:row>
      <xdr:rowOff>3697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8C3C90-A724-4ED7-95D1-B5C603C43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0983" y="452826"/>
          <a:ext cx="7772400" cy="3298412"/>
        </a:xfrm>
        <a:prstGeom prst="rect">
          <a:avLst/>
        </a:prstGeom>
      </xdr:spPr>
    </xdr:pic>
    <xdr:clientData/>
  </xdr:twoCellAnchor>
  <xdr:twoCellAnchor editAs="oneCell">
    <xdr:from>
      <xdr:col>2</xdr:col>
      <xdr:colOff>758975</xdr:colOff>
      <xdr:row>22</xdr:row>
      <xdr:rowOff>134384</xdr:rowOff>
    </xdr:from>
    <xdr:to>
      <xdr:col>13</xdr:col>
      <xdr:colOff>115023</xdr:colOff>
      <xdr:row>43</xdr:row>
      <xdr:rowOff>7942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576DE1-4B81-4977-837C-D735785A8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9221" y="4256679"/>
          <a:ext cx="7772400" cy="3808476"/>
        </a:xfrm>
        <a:prstGeom prst="rect">
          <a:avLst/>
        </a:prstGeom>
      </xdr:spPr>
    </xdr:pic>
    <xdr:clientData/>
  </xdr:twoCellAnchor>
  <xdr:twoCellAnchor editAs="oneCell">
    <xdr:from>
      <xdr:col>2</xdr:col>
      <xdr:colOff>733893</xdr:colOff>
      <xdr:row>45</xdr:row>
      <xdr:rowOff>171763</xdr:rowOff>
    </xdr:from>
    <xdr:to>
      <xdr:col>13</xdr:col>
      <xdr:colOff>89941</xdr:colOff>
      <xdr:row>68</xdr:row>
      <xdr:rowOff>15467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305BED-3B4F-460E-97FD-09B49BE5F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4139" y="8603730"/>
          <a:ext cx="7772400" cy="41533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13</xdr:col>
      <xdr:colOff>121171</xdr:colOff>
      <xdr:row>92</xdr:row>
      <xdr:rowOff>159258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3CA629C-FBA0-4EF0-BD8F-E9BF4DCF8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369" y="13303770"/>
          <a:ext cx="7772400" cy="4094177"/>
        </a:xfrm>
        <a:prstGeom prst="rect">
          <a:avLst/>
        </a:prstGeom>
      </xdr:spPr>
    </xdr:pic>
    <xdr:clientData/>
  </xdr:twoCellAnchor>
  <xdr:twoCellAnchor editAs="oneCell">
    <xdr:from>
      <xdr:col>3</xdr:col>
      <xdr:colOff>374487</xdr:colOff>
      <xdr:row>90</xdr:row>
      <xdr:rowOff>115231</xdr:rowOff>
    </xdr:from>
    <xdr:to>
      <xdr:col>9</xdr:col>
      <xdr:colOff>704199</xdr:colOff>
      <xdr:row>92</xdr:row>
      <xdr:rowOff>105452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D1C8FBB-B648-42AA-9754-E17A94862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0487" y="17260231"/>
          <a:ext cx="4901712" cy="371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DB1A-A3BD-4AEE-AFE3-3F966C54B1F1}">
  <dimension ref="A1"/>
  <sheetViews>
    <sheetView tabSelected="1" zoomScale="67" zoomScaleNormal="100" workbookViewId="0">
      <selection activeCell="I95" sqref="I9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bestFit="1" customWidth="1"/>
    <col min="2" max="2" width="16.85546875" bestFit="1" customWidth="1"/>
    <col min="3" max="3" width="15.85546875" bestFit="1" customWidth="1"/>
    <col min="4" max="4" width="17.7109375" customWidth="1"/>
    <col min="5" max="5" width="24.42578125" style="1" bestFit="1" customWidth="1"/>
    <col min="6" max="6" width="15.5703125" style="2" bestFit="1" customWidth="1"/>
  </cols>
  <sheetData>
    <row r="1" spans="1:6" x14ac:dyDescent="0.25">
      <c r="A1" s="3" t="s">
        <v>0</v>
      </c>
      <c r="B1" s="3" t="s">
        <v>20</v>
      </c>
      <c r="C1" s="3" t="s">
        <v>21</v>
      </c>
      <c r="D1" s="3" t="s">
        <v>1</v>
      </c>
      <c r="E1" s="4" t="s">
        <v>2</v>
      </c>
      <c r="F1" s="5" t="s">
        <v>3</v>
      </c>
    </row>
    <row r="2" spans="1:6" x14ac:dyDescent="0.25">
      <c r="A2" t="s">
        <v>4</v>
      </c>
      <c r="B2" t="s">
        <v>12</v>
      </c>
      <c r="C2" t="s">
        <v>13</v>
      </c>
      <c r="D2" t="s">
        <v>5</v>
      </c>
      <c r="E2" s="1">
        <v>43508</v>
      </c>
      <c r="F2" s="2">
        <v>1000</v>
      </c>
    </row>
    <row r="3" spans="1:6" x14ac:dyDescent="0.25">
      <c r="A3" t="s">
        <v>7</v>
      </c>
      <c r="B3" t="s">
        <v>14</v>
      </c>
      <c r="C3" t="s">
        <v>15</v>
      </c>
      <c r="D3" t="s">
        <v>6</v>
      </c>
      <c r="E3" s="1">
        <v>43516</v>
      </c>
      <c r="F3" s="2">
        <v>1100</v>
      </c>
    </row>
    <row r="4" spans="1:6" x14ac:dyDescent="0.25">
      <c r="A4" t="s">
        <v>9</v>
      </c>
      <c r="B4" t="s">
        <v>16</v>
      </c>
      <c r="C4" t="s">
        <v>17</v>
      </c>
      <c r="D4" t="s">
        <v>8</v>
      </c>
      <c r="E4" s="1">
        <v>43517</v>
      </c>
      <c r="F4" s="2">
        <v>1005</v>
      </c>
    </row>
    <row r="5" spans="1:6" x14ac:dyDescent="0.25">
      <c r="A5" t="s">
        <v>10</v>
      </c>
      <c r="B5" t="s">
        <v>18</v>
      </c>
      <c r="C5" t="s">
        <v>19</v>
      </c>
      <c r="D5" t="s">
        <v>11</v>
      </c>
      <c r="E5" s="1">
        <v>43553</v>
      </c>
      <c r="F5" s="2">
        <v>801</v>
      </c>
    </row>
    <row r="10" spans="1:6" x14ac:dyDescent="0.25">
      <c r="E10"/>
    </row>
    <row r="12" spans="1:6" x14ac:dyDescent="0.25">
      <c r="A12" s="7" t="s">
        <v>0</v>
      </c>
      <c r="B12" s="7" t="s">
        <v>1</v>
      </c>
      <c r="C12" s="7" t="s">
        <v>22</v>
      </c>
    </row>
    <row r="13" spans="1:6" x14ac:dyDescent="0.25">
      <c r="A13" s="6" t="s">
        <v>23</v>
      </c>
      <c r="B13" s="6" t="s">
        <v>24</v>
      </c>
      <c r="C13" s="8">
        <v>500</v>
      </c>
    </row>
    <row r="14" spans="1:6" x14ac:dyDescent="0.25">
      <c r="A14" s="6" t="s">
        <v>26</v>
      </c>
      <c r="B14" s="6" t="s">
        <v>25</v>
      </c>
      <c r="C14" s="8">
        <v>1300</v>
      </c>
    </row>
  </sheetData>
  <protectedRanges>
    <protectedRange algorithmName="SHA-512" hashValue="4zHR6BB2e+IRb76N9s6FfUVNF+QBVh18DXVdQr+GOYWKT5IzCSe6RHte5K3g/X9npspUO/KoSqoHwXwiDF6aUQ==" saltValue="X0GHL+nHb+GkzlE9EilT5A==" spinCount="100000" sqref="B2:D5" name="PERSONAL"/>
    <protectedRange algorithmName="SHA-512" hashValue="EmUQ8FCbI36MM1zm4xoGM6r2MEpGkmAGepH+X0yuVVpE1CTLw92WgpkEr9CZqGePZ7dTKvZD5lLOBofd9gxyYQ==" saltValue="GShf+NQCEUiAl6vYjn/Nbw==" spinCount="100000" sqref="F2:F5" name="REMUNERACIÓN"/>
  </protectedRanges>
  <dataValidations count="2">
    <dataValidation type="whole" operator="greaterThan" allowBlank="1" showInputMessage="1" showErrorMessage="1" sqref="F5" xr:uid="{0245CBAE-846E-4752-82B0-3E90710FF949}">
      <formula1>800</formula1>
    </dataValidation>
    <dataValidation type="whole" allowBlank="1" showInputMessage="1" showErrorMessage="1" sqref="C13:C14" xr:uid="{D8CDD46B-F55A-4B73-A336-FAE65CAB72B4}">
      <formula1>500</formula1>
      <formula2>1300</formula2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D42E-4341-4785-A768-87C15A30CCE9}">
  <dimension ref="A1:M14"/>
  <sheetViews>
    <sheetView workbookViewId="0">
      <selection activeCell="J2" sqref="J2"/>
    </sheetView>
  </sheetViews>
  <sheetFormatPr baseColWidth="10" defaultRowHeight="15" x14ac:dyDescent="0.25"/>
  <cols>
    <col min="2" max="2" width="11.42578125" style="2"/>
    <col min="3" max="3" width="11.5703125" bestFit="1" customWidth="1"/>
    <col min="4" max="4" width="13.42578125" bestFit="1" customWidth="1"/>
    <col min="6" max="6" width="16.7109375" style="2" bestFit="1" customWidth="1"/>
  </cols>
  <sheetData>
    <row r="1" spans="1:13" x14ac:dyDescent="0.25">
      <c r="A1" s="9" t="s">
        <v>27</v>
      </c>
      <c r="B1" s="11" t="s">
        <v>28</v>
      </c>
      <c r="C1" s="9" t="s">
        <v>29</v>
      </c>
      <c r="D1" s="9" t="s">
        <v>30</v>
      </c>
      <c r="F1" s="11" t="s">
        <v>35</v>
      </c>
      <c r="G1" s="9" t="s">
        <v>29</v>
      </c>
      <c r="H1" s="9" t="s">
        <v>36</v>
      </c>
      <c r="I1" s="9" t="s">
        <v>37</v>
      </c>
      <c r="J1" s="14" t="s">
        <v>37</v>
      </c>
    </row>
    <row r="2" spans="1:13" x14ac:dyDescent="0.25">
      <c r="A2" t="s">
        <v>31</v>
      </c>
      <c r="B2" s="2">
        <v>9.1999999999999993</v>
      </c>
      <c r="C2" s="10">
        <v>0.03</v>
      </c>
      <c r="D2" s="2">
        <f>B2-B2*C2</f>
        <v>8.9239999999999995</v>
      </c>
      <c r="F2" s="8">
        <v>4.3</v>
      </c>
      <c r="G2" s="12">
        <v>0.03</v>
      </c>
      <c r="H2" s="6">
        <v>230</v>
      </c>
      <c r="I2" s="8">
        <f>((F2-F2*G2)*H2)-((B2-B2*C2)*H2)</f>
        <v>-1093.19</v>
      </c>
      <c r="J2" s="8">
        <f xml:space="preserve"> H2*((F2-F2*G2)-(B2-B2*C2))</f>
        <v>-1093.19</v>
      </c>
    </row>
    <row r="3" spans="1:13" x14ac:dyDescent="0.25">
      <c r="A3" t="s">
        <v>32</v>
      </c>
      <c r="B3" s="2">
        <v>3.4</v>
      </c>
      <c r="C3" s="10">
        <v>0.05</v>
      </c>
      <c r="D3" s="2">
        <f t="shared" ref="D3:D5" si="0">B3-B3*C3</f>
        <v>3.23</v>
      </c>
      <c r="F3" s="8">
        <v>9.5</v>
      </c>
      <c r="G3" s="12">
        <v>0.06</v>
      </c>
      <c r="H3" s="6">
        <v>124</v>
      </c>
      <c r="I3" s="8">
        <f t="shared" ref="I3:I5" si="1">((F3-F3*G3)*H3)-((B3-B3*C3)*H3)</f>
        <v>706.8</v>
      </c>
      <c r="J3" s="8">
        <f t="shared" ref="J3:J5" si="2" xml:space="preserve"> H3*((F3-F3*G3)-(B3-B3*C3))</f>
        <v>706.8</v>
      </c>
    </row>
    <row r="4" spans="1:13" x14ac:dyDescent="0.25">
      <c r="A4" t="s">
        <v>33</v>
      </c>
      <c r="B4" s="2">
        <v>8.6999999999999993</v>
      </c>
      <c r="C4" s="10">
        <v>0.06</v>
      </c>
      <c r="D4" s="2">
        <f t="shared" si="0"/>
        <v>8.177999999999999</v>
      </c>
      <c r="F4" s="8">
        <v>8.8000000000000007</v>
      </c>
      <c r="G4" s="12">
        <v>0.08</v>
      </c>
      <c r="H4" s="6">
        <v>215</v>
      </c>
      <c r="I4" s="8">
        <f t="shared" si="1"/>
        <v>-17.629999999999654</v>
      </c>
      <c r="J4" s="8">
        <f t="shared" si="2"/>
        <v>-17.629999999999775</v>
      </c>
      <c r="M4" t="s">
        <v>46</v>
      </c>
    </row>
    <row r="5" spans="1:13" x14ac:dyDescent="0.25">
      <c r="A5" t="s">
        <v>34</v>
      </c>
      <c r="B5" s="2">
        <v>7.6</v>
      </c>
      <c r="C5" s="10">
        <v>0.02</v>
      </c>
      <c r="D5" s="2">
        <f t="shared" si="0"/>
        <v>7.4479999999999995</v>
      </c>
      <c r="F5" s="8">
        <v>9.1</v>
      </c>
      <c r="G5" s="12">
        <v>0.01</v>
      </c>
      <c r="H5" s="6">
        <v>156</v>
      </c>
      <c r="I5" s="8">
        <f t="shared" si="1"/>
        <v>243.51600000000008</v>
      </c>
      <c r="J5" s="8">
        <f t="shared" si="2"/>
        <v>243.51600000000013</v>
      </c>
    </row>
    <row r="8" spans="1:13" x14ac:dyDescent="0.25">
      <c r="C8" t="s">
        <v>38</v>
      </c>
      <c r="H8" t="s">
        <v>41</v>
      </c>
    </row>
    <row r="9" spans="1:13" x14ac:dyDescent="0.25">
      <c r="C9" t="s">
        <v>39</v>
      </c>
      <c r="H9" t="s">
        <v>42</v>
      </c>
    </row>
    <row r="10" spans="1:13" x14ac:dyDescent="0.25">
      <c r="C10" s="13" t="s">
        <v>40</v>
      </c>
      <c r="H10" t="s">
        <v>43</v>
      </c>
    </row>
    <row r="12" spans="1:13" x14ac:dyDescent="0.25">
      <c r="H12" t="s">
        <v>44</v>
      </c>
    </row>
    <row r="14" spans="1:13" x14ac:dyDescent="0.25">
      <c r="H14" t="s">
        <v>45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D038-1278-4353-8181-AEFC74F85905}">
  <dimension ref="A1:G4"/>
  <sheetViews>
    <sheetView workbookViewId="0">
      <selection activeCell="C3" sqref="C3"/>
    </sheetView>
  </sheetViews>
  <sheetFormatPr baseColWidth="10" defaultRowHeight="15" x14ac:dyDescent="0.25"/>
  <cols>
    <col min="2" max="2" width="11.42578125" style="2"/>
    <col min="3" max="3" width="20.28515625" bestFit="1" customWidth="1"/>
  </cols>
  <sheetData>
    <row r="1" spans="1:7" x14ac:dyDescent="0.25">
      <c r="A1" s="9" t="s">
        <v>27</v>
      </c>
      <c r="B1" s="11" t="s">
        <v>28</v>
      </c>
      <c r="C1" s="9" t="s">
        <v>47</v>
      </c>
      <c r="D1" s="9"/>
      <c r="E1" s="9"/>
      <c r="F1" s="9" t="s">
        <v>29</v>
      </c>
      <c r="G1" s="15">
        <v>0.05</v>
      </c>
    </row>
    <row r="2" spans="1:7" x14ac:dyDescent="0.25">
      <c r="A2" t="s">
        <v>31</v>
      </c>
      <c r="B2" s="2">
        <v>4.5</v>
      </c>
      <c r="C2" s="2">
        <f>B2-B2*G$1</f>
        <v>4.2750000000000004</v>
      </c>
    </row>
    <row r="3" spans="1:7" x14ac:dyDescent="0.25">
      <c r="A3" t="s">
        <v>32</v>
      </c>
      <c r="B3" s="2">
        <v>6.5</v>
      </c>
      <c r="C3" s="2">
        <f t="shared" ref="C3:C4" si="0">B3-B3*G$1</f>
        <v>6.1749999999999998</v>
      </c>
    </row>
    <row r="4" spans="1:7" x14ac:dyDescent="0.25">
      <c r="A4" t="s">
        <v>33</v>
      </c>
      <c r="B4" s="2">
        <v>7.3</v>
      </c>
      <c r="C4" s="2">
        <f t="shared" si="0"/>
        <v>6.9349999999999996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889C-9C65-4ACE-88AF-24B36052E8DB}">
  <dimension ref="B1:F5"/>
  <sheetViews>
    <sheetView workbookViewId="0">
      <selection activeCell="C2" sqref="C2"/>
    </sheetView>
  </sheetViews>
  <sheetFormatPr baseColWidth="10" defaultRowHeight="15" x14ac:dyDescent="0.25"/>
  <cols>
    <col min="2" max="2" width="11.42578125" style="2"/>
  </cols>
  <sheetData>
    <row r="1" spans="2:6" x14ac:dyDescent="0.25">
      <c r="B1" s="11" t="s">
        <v>28</v>
      </c>
      <c r="C1" s="15">
        <v>0.04</v>
      </c>
      <c r="D1" s="15">
        <v>0.02</v>
      </c>
      <c r="E1" s="15">
        <v>0.12</v>
      </c>
      <c r="F1" s="15">
        <v>7.0000000000000007E-2</v>
      </c>
    </row>
    <row r="2" spans="2:6" x14ac:dyDescent="0.25">
      <c r="B2" s="8">
        <v>5.8</v>
      </c>
      <c r="C2" s="8">
        <f>$B2-$B2*C$1</f>
        <v>5.5679999999999996</v>
      </c>
      <c r="D2" s="8">
        <f t="shared" ref="D2:F2" si="0">$B2-$B2*D$1</f>
        <v>5.6840000000000002</v>
      </c>
      <c r="E2" s="8">
        <f t="shared" si="0"/>
        <v>5.1040000000000001</v>
      </c>
      <c r="F2" s="8">
        <f t="shared" si="0"/>
        <v>5.3940000000000001</v>
      </c>
    </row>
    <row r="3" spans="2:6" x14ac:dyDescent="0.25">
      <c r="B3" s="8">
        <v>7.6</v>
      </c>
      <c r="C3" s="8">
        <f t="shared" ref="C3:F5" si="1">$B3-$B3*C$1</f>
        <v>7.2959999999999994</v>
      </c>
      <c r="D3" s="8">
        <f t="shared" si="1"/>
        <v>7.4479999999999995</v>
      </c>
      <c r="E3" s="8">
        <f t="shared" si="1"/>
        <v>6.6879999999999997</v>
      </c>
      <c r="F3" s="8">
        <f t="shared" si="1"/>
        <v>7.0679999999999996</v>
      </c>
    </row>
    <row r="4" spans="2:6" x14ac:dyDescent="0.25">
      <c r="B4" s="8">
        <v>4.5</v>
      </c>
      <c r="C4" s="8">
        <f t="shared" si="1"/>
        <v>4.32</v>
      </c>
      <c r="D4" s="8">
        <f t="shared" si="1"/>
        <v>4.41</v>
      </c>
      <c r="E4" s="8">
        <f t="shared" si="1"/>
        <v>3.96</v>
      </c>
      <c r="F4" s="8">
        <f t="shared" si="1"/>
        <v>4.1849999999999996</v>
      </c>
    </row>
    <row r="5" spans="2:6" x14ac:dyDescent="0.25">
      <c r="B5" s="8">
        <v>3.4</v>
      </c>
      <c r="C5" s="8">
        <f t="shared" si="1"/>
        <v>3.2639999999999998</v>
      </c>
      <c r="D5" s="8">
        <f t="shared" si="1"/>
        <v>3.3319999999999999</v>
      </c>
      <c r="E5" s="8">
        <f t="shared" si="1"/>
        <v>2.992</v>
      </c>
      <c r="F5" s="8">
        <f t="shared" si="1"/>
        <v>3.1619999999999999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5B77-3C56-4BB9-A064-5D87A99E8CC4}">
  <dimension ref="A1:M12"/>
  <sheetViews>
    <sheetView zoomScaleNormal="100" workbookViewId="0">
      <selection activeCell="D15" sqref="D15"/>
    </sheetView>
  </sheetViews>
  <sheetFormatPr baseColWidth="10" defaultRowHeight="15" x14ac:dyDescent="0.25"/>
  <cols>
    <col min="2" max="2" width="16.7109375" style="2" bestFit="1" customWidth="1"/>
    <col min="3" max="3" width="16.28515625" style="2" bestFit="1" customWidth="1"/>
    <col min="4" max="4" width="13" style="2" bestFit="1" customWidth="1"/>
    <col min="5" max="5" width="17.85546875" bestFit="1" customWidth="1"/>
    <col min="6" max="6" width="10.140625" style="2" bestFit="1" customWidth="1"/>
    <col min="7" max="7" width="9.140625" bestFit="1" customWidth="1"/>
    <col min="8" max="8" width="13" bestFit="1" customWidth="1"/>
    <col min="9" max="9" width="22.85546875" bestFit="1" customWidth="1"/>
    <col min="12" max="12" width="23.28515625" bestFit="1" customWidth="1"/>
  </cols>
  <sheetData>
    <row r="1" spans="1:13" x14ac:dyDescent="0.25">
      <c r="A1" s="9" t="s">
        <v>27</v>
      </c>
      <c r="B1" s="11" t="s">
        <v>35</v>
      </c>
      <c r="C1" s="11" t="s">
        <v>48</v>
      </c>
      <c r="D1" s="11" t="s">
        <v>49</v>
      </c>
      <c r="E1" s="11" t="s">
        <v>52</v>
      </c>
      <c r="F1" s="11" t="s">
        <v>53</v>
      </c>
      <c r="G1" s="11" t="s">
        <v>59</v>
      </c>
      <c r="H1" s="11" t="s">
        <v>54</v>
      </c>
      <c r="I1" s="18" t="s">
        <v>50</v>
      </c>
      <c r="J1" s="16">
        <v>0.05</v>
      </c>
      <c r="K1" s="17"/>
      <c r="L1" s="9" t="s">
        <v>51</v>
      </c>
      <c r="M1" s="16">
        <v>0.03</v>
      </c>
    </row>
    <row r="2" spans="1:13" x14ac:dyDescent="0.25">
      <c r="A2" s="6" t="s">
        <v>31</v>
      </c>
      <c r="B2" s="8">
        <v>12.4</v>
      </c>
      <c r="C2" s="8">
        <v>5.7</v>
      </c>
      <c r="D2" s="8">
        <v>1240</v>
      </c>
      <c r="E2" s="8">
        <f>D2/((B2-B2*J$1)-(C2-C2*M$1))</f>
        <v>198.36826107822745</v>
      </c>
      <c r="F2" s="8">
        <f>(B2-B2*J$1)*E2</f>
        <v>2336.7781155015196</v>
      </c>
      <c r="G2" s="8">
        <f>F2-H2-D2</f>
        <v>0</v>
      </c>
      <c r="H2" s="8">
        <f>(C2-C2*M$1)*E2</f>
        <v>1096.7781155015196</v>
      </c>
    </row>
    <row r="3" spans="1:13" x14ac:dyDescent="0.25">
      <c r="A3" s="6" t="s">
        <v>32</v>
      </c>
      <c r="B3" s="8">
        <v>24.6</v>
      </c>
      <c r="C3" s="8">
        <v>14.5</v>
      </c>
      <c r="D3" s="8">
        <v>1479</v>
      </c>
      <c r="E3" s="8">
        <f t="shared" ref="E3:E5" si="0">D3/((B3-B3*J$1)-(C3-C3*M$1))</f>
        <v>158.94680279419666</v>
      </c>
      <c r="F3" s="8">
        <f t="shared" ref="F3:F5" si="1">(B3-B3*J$1)*E3</f>
        <v>3714.5867813003761</v>
      </c>
      <c r="G3" s="8">
        <f t="shared" ref="G3:G5" si="2">F3-H3-D3</f>
        <v>0</v>
      </c>
      <c r="H3" s="8">
        <f t="shared" ref="H3:H5" si="3">(C3-C3*M$1)*E3</f>
        <v>2235.5867813003761</v>
      </c>
    </row>
    <row r="4" spans="1:13" x14ac:dyDescent="0.25">
      <c r="A4" s="6" t="s">
        <v>33</v>
      </c>
      <c r="B4" s="8">
        <v>5.7</v>
      </c>
      <c r="C4" s="8">
        <v>2.5</v>
      </c>
      <c r="D4" s="8">
        <v>2343</v>
      </c>
      <c r="E4" s="8">
        <f t="shared" si="0"/>
        <v>783.61204013377926</v>
      </c>
      <c r="F4" s="8">
        <f t="shared" si="1"/>
        <v>4243.2591973244143</v>
      </c>
      <c r="G4" s="8">
        <f t="shared" si="2"/>
        <v>0</v>
      </c>
      <c r="H4" s="8">
        <f t="shared" si="3"/>
        <v>1900.2591973244146</v>
      </c>
    </row>
    <row r="5" spans="1:13" x14ac:dyDescent="0.25">
      <c r="A5" s="6" t="s">
        <v>34</v>
      </c>
      <c r="B5" s="8">
        <v>14.5</v>
      </c>
      <c r="C5" s="8">
        <v>11.3</v>
      </c>
      <c r="D5" s="8">
        <v>5467</v>
      </c>
      <c r="E5" s="8">
        <f t="shared" si="0"/>
        <v>1942.7860696517412</v>
      </c>
      <c r="F5" s="8">
        <f t="shared" si="1"/>
        <v>26761.878109452737</v>
      </c>
      <c r="G5" s="8">
        <f t="shared" si="2"/>
        <v>0</v>
      </c>
      <c r="H5" s="8">
        <f t="shared" si="3"/>
        <v>21294.878109452737</v>
      </c>
    </row>
    <row r="9" spans="1:13" x14ac:dyDescent="0.25">
      <c r="C9" s="2" t="s">
        <v>55</v>
      </c>
    </row>
    <row r="10" spans="1:13" x14ac:dyDescent="0.25">
      <c r="C10" s="2" t="s">
        <v>58</v>
      </c>
    </row>
    <row r="11" spans="1:13" x14ac:dyDescent="0.25">
      <c r="C11" s="2" t="s">
        <v>56</v>
      </c>
    </row>
    <row r="12" spans="1:13" x14ac:dyDescent="0.25">
      <c r="C12" s="2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1DCE-FFEF-4AEB-93EA-18D987FF008F}">
  <dimension ref="B2:K31"/>
  <sheetViews>
    <sheetView topLeftCell="A10" workbookViewId="0">
      <selection activeCell="H30" sqref="H30:I31"/>
    </sheetView>
  </sheetViews>
  <sheetFormatPr baseColWidth="10" defaultRowHeight="15" x14ac:dyDescent="0.25"/>
  <cols>
    <col min="2" max="2" width="29.7109375" bestFit="1" customWidth="1"/>
    <col min="3" max="3" width="12.5703125" bestFit="1" customWidth="1"/>
    <col min="8" max="8" width="24.28515625" bestFit="1" customWidth="1"/>
  </cols>
  <sheetData>
    <row r="2" spans="2:11" x14ac:dyDescent="0.25">
      <c r="B2" s="19" t="s">
        <v>60</v>
      </c>
      <c r="C2" s="19" t="s">
        <v>63</v>
      </c>
      <c r="D2" s="19" t="s">
        <v>62</v>
      </c>
      <c r="E2" s="19" t="s">
        <v>61</v>
      </c>
      <c r="H2" s="19" t="s">
        <v>68</v>
      </c>
      <c r="I2" s="6">
        <f>SUM(C3:E6)</f>
        <v>646</v>
      </c>
      <c r="J2" s="6"/>
      <c r="K2" s="6"/>
    </row>
    <row r="3" spans="2:11" x14ac:dyDescent="0.25">
      <c r="B3" s="6" t="s">
        <v>64</v>
      </c>
      <c r="C3" s="6">
        <v>23</v>
      </c>
      <c r="D3" s="6">
        <v>36</v>
      </c>
      <c r="E3" s="6">
        <v>112</v>
      </c>
      <c r="H3" s="19" t="s">
        <v>69</v>
      </c>
      <c r="I3" s="6">
        <f>SUM(C3:C6)</f>
        <v>86</v>
      </c>
      <c r="J3" s="6">
        <f>SUM(D3:D6)</f>
        <v>292</v>
      </c>
      <c r="K3" s="6">
        <f>SUM(E3:E6)</f>
        <v>268</v>
      </c>
    </row>
    <row r="4" spans="2:11" x14ac:dyDescent="0.25">
      <c r="B4" s="6" t="s">
        <v>65</v>
      </c>
      <c r="C4" s="6">
        <v>12</v>
      </c>
      <c r="D4" s="6">
        <v>54</v>
      </c>
      <c r="E4" s="6">
        <v>34</v>
      </c>
      <c r="H4" s="19" t="s">
        <v>70</v>
      </c>
      <c r="I4" s="6">
        <f>SUM(C3:C6,E3:E6)</f>
        <v>354</v>
      </c>
      <c r="J4" s="6"/>
      <c r="K4" s="6"/>
    </row>
    <row r="5" spans="2:11" x14ac:dyDescent="0.25">
      <c r="B5" s="6" t="s">
        <v>66</v>
      </c>
      <c r="C5" s="6">
        <v>6</v>
      </c>
      <c r="D5" s="6">
        <v>124</v>
      </c>
      <c r="E5" s="6">
        <v>57</v>
      </c>
      <c r="H5" s="19" t="s">
        <v>71</v>
      </c>
      <c r="I5" s="6">
        <f>SUM(C3:E3,C5:E5)</f>
        <v>358</v>
      </c>
      <c r="J5" s="6"/>
      <c r="K5" s="6"/>
    </row>
    <row r="6" spans="2:11" x14ac:dyDescent="0.25">
      <c r="B6" s="6" t="s">
        <v>67</v>
      </c>
      <c r="C6" s="6">
        <v>45</v>
      </c>
      <c r="D6" s="6">
        <v>78</v>
      </c>
      <c r="E6" s="6">
        <v>65</v>
      </c>
    </row>
    <row r="8" spans="2:11" x14ac:dyDescent="0.25">
      <c r="H8" s="19" t="s">
        <v>72</v>
      </c>
      <c r="I8" s="20">
        <f>AVERAGE(C3:E6)</f>
        <v>53.833333333333336</v>
      </c>
      <c r="J8" s="6"/>
      <c r="K8" s="6"/>
    </row>
    <row r="9" spans="2:11" x14ac:dyDescent="0.25">
      <c r="H9" s="19" t="s">
        <v>73</v>
      </c>
      <c r="I9" s="6">
        <f>AVERAGE(C3:C6)</f>
        <v>21.5</v>
      </c>
      <c r="J9" s="6">
        <f>AVERAGE(D3:D6)</f>
        <v>73</v>
      </c>
      <c r="K9" s="6">
        <f>AVERAGE(E3:E6)</f>
        <v>67</v>
      </c>
    </row>
    <row r="12" spans="2:11" x14ac:dyDescent="0.25">
      <c r="H12" s="19" t="s">
        <v>74</v>
      </c>
      <c r="I12" s="6">
        <f>MAX(C3:E6)</f>
        <v>124</v>
      </c>
    </row>
    <row r="13" spans="2:11" x14ac:dyDescent="0.25">
      <c r="H13" s="19" t="s">
        <v>75</v>
      </c>
      <c r="I13" s="6">
        <f>MIN(C3:E6)</f>
        <v>6</v>
      </c>
    </row>
    <row r="16" spans="2:11" x14ac:dyDescent="0.25">
      <c r="H16" s="19" t="s">
        <v>76</v>
      </c>
      <c r="I16" s="6">
        <f>LARGE(C3:E6,2)</f>
        <v>112</v>
      </c>
    </row>
    <row r="17" spans="8:10" x14ac:dyDescent="0.25">
      <c r="H17" s="19" t="s">
        <v>80</v>
      </c>
      <c r="I17" s="6">
        <f>SMALL(C3:E6,2)</f>
        <v>12</v>
      </c>
    </row>
    <row r="20" spans="8:10" x14ac:dyDescent="0.25">
      <c r="H20" s="19" t="s">
        <v>77</v>
      </c>
      <c r="I20" s="19" t="s">
        <v>78</v>
      </c>
      <c r="J20" s="19" t="s">
        <v>79</v>
      </c>
    </row>
    <row r="21" spans="8:10" x14ac:dyDescent="0.25">
      <c r="H21" s="21">
        <v>1</v>
      </c>
      <c r="I21" s="6">
        <f>LARGE(C$3:E$6,H21)</f>
        <v>124</v>
      </c>
      <c r="J21" s="6">
        <f>SMALL(C$3:E$6,H21)</f>
        <v>6</v>
      </c>
    </row>
    <row r="22" spans="8:10" x14ac:dyDescent="0.25">
      <c r="H22" s="21">
        <v>2</v>
      </c>
      <c r="I22" s="6">
        <f>LARGE(C$3:E$6,H22)</f>
        <v>112</v>
      </c>
      <c r="J22" s="6">
        <f>SMALL(C$3:E$6,H22)</f>
        <v>12</v>
      </c>
    </row>
    <row r="23" spans="8:10" x14ac:dyDescent="0.25">
      <c r="H23" s="21">
        <v>3</v>
      </c>
      <c r="I23" s="6">
        <f>LARGE(C$3:E$6,H23)</f>
        <v>78</v>
      </c>
      <c r="J23" s="6">
        <f>SMALL(C$3:E$6,H23)</f>
        <v>23</v>
      </c>
    </row>
    <row r="26" spans="8:10" x14ac:dyDescent="0.25">
      <c r="H26" s="19" t="s">
        <v>81</v>
      </c>
      <c r="I26" s="6">
        <f>COUNT(C3:E6)</f>
        <v>12</v>
      </c>
    </row>
    <row r="27" spans="8:10" x14ac:dyDescent="0.25">
      <c r="H27" s="19" t="s">
        <v>82</v>
      </c>
      <c r="I27" s="6">
        <f>COUNTBLANK(C3:E6)</f>
        <v>0</v>
      </c>
    </row>
    <row r="30" spans="8:10" x14ac:dyDescent="0.25">
      <c r="H30" s="19" t="s">
        <v>83</v>
      </c>
      <c r="I30" s="6">
        <f>COUNTIF(C3:E6,"&gt;100")</f>
        <v>2</v>
      </c>
    </row>
    <row r="31" spans="8:10" x14ac:dyDescent="0.25">
      <c r="H31" s="19" t="s">
        <v>84</v>
      </c>
      <c r="I31" s="6">
        <f>COUNTIF(C3:E6,"&lt;=50")</f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9D1E-7A25-4357-958E-C8F07BA5F698}">
  <dimension ref="A1:F5"/>
  <sheetViews>
    <sheetView workbookViewId="0">
      <selection activeCell="E11" sqref="E11"/>
    </sheetView>
  </sheetViews>
  <sheetFormatPr baseColWidth="10" defaultRowHeight="15" x14ac:dyDescent="0.25"/>
  <cols>
    <col min="1" max="1" width="12.85546875" bestFit="1" customWidth="1"/>
    <col min="6" max="6" width="12.5703125" bestFit="1" customWidth="1"/>
  </cols>
  <sheetData>
    <row r="1" spans="1:6" x14ac:dyDescent="0.25">
      <c r="A1" s="9" t="s">
        <v>85</v>
      </c>
      <c r="B1" s="9" t="s">
        <v>87</v>
      </c>
      <c r="C1" s="9" t="s">
        <v>86</v>
      </c>
      <c r="D1" s="9" t="s">
        <v>88</v>
      </c>
      <c r="E1" s="9" t="s">
        <v>89</v>
      </c>
      <c r="F1" s="14" t="s">
        <v>91</v>
      </c>
    </row>
    <row r="2" spans="1:6" x14ac:dyDescent="0.25">
      <c r="A2" s="22" t="s">
        <v>64</v>
      </c>
      <c r="B2" s="6">
        <v>10</v>
      </c>
      <c r="C2" s="6">
        <v>6</v>
      </c>
      <c r="D2" s="6">
        <v>6</v>
      </c>
      <c r="E2" s="20">
        <f>AVERAGE(B2:D2)</f>
        <v>7.333333333333333</v>
      </c>
      <c r="F2" s="22" t="str">
        <f>IF(E2&lt;=7,"REPROBADO","APROBADO")</f>
        <v>APROBADO</v>
      </c>
    </row>
    <row r="3" spans="1:6" x14ac:dyDescent="0.25">
      <c r="A3" s="22" t="s">
        <v>65</v>
      </c>
      <c r="B3" s="6">
        <v>3</v>
      </c>
      <c r="C3" s="6">
        <v>8</v>
      </c>
      <c r="D3" s="6">
        <v>9</v>
      </c>
      <c r="E3" s="20">
        <f t="shared" ref="E3:E5" si="0">AVERAGE(B3:D3)</f>
        <v>6.666666666666667</v>
      </c>
      <c r="F3" s="22" t="str">
        <f t="shared" ref="F3:F5" si="1">IF(E3&lt;=7,"REPROBADO","APROBADO")</f>
        <v>REPROBADO</v>
      </c>
    </row>
    <row r="4" spans="1:6" x14ac:dyDescent="0.25">
      <c r="A4" s="22" t="s">
        <v>66</v>
      </c>
      <c r="B4" s="6">
        <v>2</v>
      </c>
      <c r="C4" s="6">
        <v>4</v>
      </c>
      <c r="D4" s="6">
        <v>4</v>
      </c>
      <c r="E4" s="20">
        <f t="shared" si="0"/>
        <v>3.3333333333333335</v>
      </c>
      <c r="F4" s="22" t="str">
        <f t="shared" si="1"/>
        <v>REPROBADO</v>
      </c>
    </row>
    <row r="5" spans="1:6" x14ac:dyDescent="0.25">
      <c r="A5" s="22" t="s">
        <v>90</v>
      </c>
      <c r="B5" s="6">
        <v>10</v>
      </c>
      <c r="C5" s="6">
        <v>9</v>
      </c>
      <c r="D5" s="6">
        <v>8</v>
      </c>
      <c r="E5" s="20">
        <f t="shared" si="0"/>
        <v>9</v>
      </c>
      <c r="F5" s="22" t="str">
        <f t="shared" si="1"/>
        <v>APROBADO</v>
      </c>
    </row>
  </sheetData>
  <conditionalFormatting sqref="F2:F5">
    <cfRule type="cellIs" dxfId="1" priority="1" operator="equal">
      <formula>"APROBADO"</formula>
    </cfRule>
    <cfRule type="cellIs" dxfId="0" priority="2" operator="equal">
      <formula>"REPROBADO"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0716-9B64-441D-88D8-74A5074183BB}">
  <dimension ref="A1:H17"/>
  <sheetViews>
    <sheetView workbookViewId="0">
      <selection activeCell="H2" sqref="H2"/>
    </sheetView>
  </sheetViews>
  <sheetFormatPr baseColWidth="10" defaultRowHeight="15" x14ac:dyDescent="0.25"/>
  <cols>
    <col min="1" max="1" width="12.85546875" bestFit="1" customWidth="1"/>
    <col min="2" max="2" width="15.140625" bestFit="1" customWidth="1"/>
    <col min="3" max="3" width="11.42578125" style="2"/>
    <col min="7" max="7" width="11.7109375" bestFit="1" customWidth="1"/>
  </cols>
  <sheetData>
    <row r="1" spans="1:8" x14ac:dyDescent="0.25">
      <c r="A1" s="9" t="s">
        <v>60</v>
      </c>
      <c r="B1" s="9" t="s">
        <v>92</v>
      </c>
      <c r="C1" s="11" t="s">
        <v>93</v>
      </c>
      <c r="D1" s="19" t="s">
        <v>96</v>
      </c>
      <c r="E1" s="19" t="s">
        <v>100</v>
      </c>
      <c r="F1" s="19" t="s">
        <v>101</v>
      </c>
      <c r="G1" s="19" t="s">
        <v>102</v>
      </c>
      <c r="H1" s="19" t="s">
        <v>104</v>
      </c>
    </row>
    <row r="2" spans="1:8" x14ac:dyDescent="0.25">
      <c r="A2" s="22" t="s">
        <v>64</v>
      </c>
      <c r="B2" s="6" t="s">
        <v>94</v>
      </c>
      <c r="C2" s="8">
        <v>200</v>
      </c>
      <c r="D2" s="6">
        <f>IF(AND(B2="SEVILLA",C2&gt;150),D$8,E$8)</f>
        <v>50</v>
      </c>
      <c r="E2" s="6">
        <f>IF(AND(C2&gt;=180, C2&lt;=300),D$9,E$9)</f>
        <v>30</v>
      </c>
      <c r="F2" s="6">
        <f>IF(OR(C2&lt;180,C2&gt;300),E$9,D$9)</f>
        <v>30</v>
      </c>
      <c r="G2" s="6">
        <f>IF(B2="SEVILLA",C$11,IF(B2="MADRID",C$12,C$13))</f>
        <v>30</v>
      </c>
      <c r="H2" s="6">
        <f>IF(AND(C2&gt;150,B2=B$11),E$15,IF(AND(C2&gt;150,B2=B$12),E$16,IF(AND(C2&gt;150,B2=B$13),E$17,0)))</f>
        <v>30</v>
      </c>
    </row>
    <row r="3" spans="1:8" x14ac:dyDescent="0.25">
      <c r="A3" s="22" t="s">
        <v>65</v>
      </c>
      <c r="B3" s="6" t="s">
        <v>95</v>
      </c>
      <c r="C3" s="8">
        <v>180</v>
      </c>
      <c r="D3" s="6">
        <f t="shared" ref="D3:D5" si="0">IF(AND(B3="SEVILLA",C3&gt;150),D$8,E$8)</f>
        <v>0</v>
      </c>
      <c r="E3" s="6">
        <f t="shared" ref="E3:E5" si="1">IF(AND(C3&gt;=180, C3&lt;=300),D$9,E$9)</f>
        <v>30</v>
      </c>
      <c r="F3" s="6">
        <f t="shared" ref="F3:F5" si="2">IF(OR(C3&lt;180,C3&gt;300),E$9,D$9)</f>
        <v>30</v>
      </c>
      <c r="G3" s="6">
        <f t="shared" ref="G3:G5" si="3">IF(B3="SEVILLA",C$11,IF(B3="MADRID",C$12,C$13))</f>
        <v>65</v>
      </c>
      <c r="H3" s="6">
        <f t="shared" ref="H3:H5" si="4">IF(AND(C3&gt;150,B3=B$11),E$15,IF(AND(C3&gt;150,B3=B$12),E$16,IF(AND(C3&gt;150,B3=B$13),E$17,0)))</f>
        <v>65</v>
      </c>
    </row>
    <row r="4" spans="1:8" x14ac:dyDescent="0.25">
      <c r="A4" s="22" t="s">
        <v>66</v>
      </c>
      <c r="B4" s="6" t="s">
        <v>94</v>
      </c>
      <c r="C4" s="8">
        <v>230</v>
      </c>
      <c r="D4" s="6">
        <f t="shared" si="0"/>
        <v>50</v>
      </c>
      <c r="E4" s="6">
        <f t="shared" si="1"/>
        <v>30</v>
      </c>
      <c r="F4" s="6">
        <f t="shared" si="2"/>
        <v>30</v>
      </c>
      <c r="G4" s="6">
        <f t="shared" si="3"/>
        <v>30</v>
      </c>
      <c r="H4" s="6">
        <f t="shared" si="4"/>
        <v>30</v>
      </c>
    </row>
    <row r="5" spans="1:8" x14ac:dyDescent="0.25">
      <c r="A5" s="22" t="s">
        <v>90</v>
      </c>
      <c r="B5" s="6" t="s">
        <v>103</v>
      </c>
      <c r="C5" s="8">
        <v>120</v>
      </c>
      <c r="D5" s="6">
        <f t="shared" si="0"/>
        <v>0</v>
      </c>
      <c r="E5" s="6">
        <f t="shared" si="1"/>
        <v>0</v>
      </c>
      <c r="F5" s="6">
        <f t="shared" si="2"/>
        <v>0</v>
      </c>
      <c r="G5" s="6">
        <f t="shared" si="3"/>
        <v>75</v>
      </c>
      <c r="H5" s="6">
        <f t="shared" si="4"/>
        <v>0</v>
      </c>
    </row>
    <row r="8" spans="1:8" x14ac:dyDescent="0.25">
      <c r="A8" s="22" t="s">
        <v>97</v>
      </c>
      <c r="B8" s="6" t="s">
        <v>94</v>
      </c>
      <c r="C8" s="8" t="s">
        <v>98</v>
      </c>
      <c r="D8" s="6">
        <v>50</v>
      </c>
      <c r="E8" s="6">
        <v>0</v>
      </c>
    </row>
    <row r="9" spans="1:8" x14ac:dyDescent="0.25">
      <c r="A9" s="22" t="s">
        <v>97</v>
      </c>
      <c r="B9" s="6" t="s">
        <v>99</v>
      </c>
      <c r="C9" s="8"/>
      <c r="D9" s="6">
        <v>30</v>
      </c>
      <c r="E9" s="6">
        <v>0</v>
      </c>
    </row>
    <row r="10" spans="1:8" x14ac:dyDescent="0.25">
      <c r="A10" s="13"/>
    </row>
    <row r="11" spans="1:8" x14ac:dyDescent="0.25">
      <c r="B11" t="s">
        <v>94</v>
      </c>
      <c r="C11" s="2">
        <v>30</v>
      </c>
    </row>
    <row r="12" spans="1:8" x14ac:dyDescent="0.25">
      <c r="B12" t="s">
        <v>95</v>
      </c>
      <c r="C12" s="2">
        <v>65</v>
      </c>
    </row>
    <row r="13" spans="1:8" x14ac:dyDescent="0.25">
      <c r="B13" t="s">
        <v>103</v>
      </c>
      <c r="C13" s="2">
        <v>75</v>
      </c>
    </row>
    <row r="15" spans="1:8" x14ac:dyDescent="0.25">
      <c r="B15" t="s">
        <v>105</v>
      </c>
      <c r="D15" t="s">
        <v>94</v>
      </c>
      <c r="E15" s="2">
        <v>30</v>
      </c>
    </row>
    <row r="16" spans="1:8" x14ac:dyDescent="0.25">
      <c r="D16" t="s">
        <v>95</v>
      </c>
      <c r="E16" s="2">
        <v>65</v>
      </c>
    </row>
    <row r="17" spans="4:5" x14ac:dyDescent="0.25">
      <c r="D17" t="s">
        <v>103</v>
      </c>
      <c r="E17" s="2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9BB7-C508-45E3-BF1B-B911069A490C}">
  <dimension ref="A1:I11"/>
  <sheetViews>
    <sheetView workbookViewId="0">
      <selection activeCell="E19" sqref="E19"/>
    </sheetView>
  </sheetViews>
  <sheetFormatPr baseColWidth="10" defaultRowHeight="15" x14ac:dyDescent="0.25"/>
  <cols>
    <col min="1" max="1" width="12.85546875" bestFit="1" customWidth="1"/>
    <col min="3" max="3" width="11.42578125" style="2"/>
  </cols>
  <sheetData>
    <row r="1" spans="1:9" x14ac:dyDescent="0.25">
      <c r="A1" s="9" t="s">
        <v>60</v>
      </c>
      <c r="B1" s="9" t="s">
        <v>92</v>
      </c>
      <c r="C1" s="11" t="s">
        <v>93</v>
      </c>
      <c r="D1" s="9" t="s">
        <v>106</v>
      </c>
      <c r="E1" s="9" t="s">
        <v>100</v>
      </c>
      <c r="F1" s="9" t="s">
        <v>101</v>
      </c>
    </row>
    <row r="2" spans="1:9" x14ac:dyDescent="0.25">
      <c r="A2" s="22" t="s">
        <v>64</v>
      </c>
      <c r="B2" s="6" t="s">
        <v>94</v>
      </c>
      <c r="C2" s="8">
        <v>1200</v>
      </c>
      <c r="D2" s="6">
        <f>IF(C2&gt;=650,H$7,I$7)</f>
        <v>100</v>
      </c>
      <c r="E2" s="6">
        <f>IF(AND(B2="SEVILLA",C2&gt;=600,C2&lt;=1300),H$8,IF(AND(B2="BARCELONA",C2&gt;=600,C2&lt;=1300),H$8,I$8))</f>
        <v>200</v>
      </c>
      <c r="F2" s="6">
        <f>IF(AND(B2="SEVILLA",C2&gt;=700,C2&lt;=1200),H$9,IF(AND(B2="MADRID",C2&gt;=700,C2&lt;=1200),H$10,IF(AND(B2="BARCELONA",C2&gt;=700,C2&lt;=1200),H$11,I$11)))</f>
        <v>60</v>
      </c>
    </row>
    <row r="3" spans="1:9" x14ac:dyDescent="0.25">
      <c r="A3" s="22" t="s">
        <v>65</v>
      </c>
      <c r="B3" s="6" t="s">
        <v>95</v>
      </c>
      <c r="C3" s="8">
        <v>900</v>
      </c>
      <c r="D3" s="6">
        <f t="shared" ref="D3:D5" si="0">IF(C3&gt;=650,H$7,I$7)</f>
        <v>100</v>
      </c>
      <c r="E3" s="6">
        <f t="shared" ref="E3:E5" si="1">IF(AND(B3="SEVILLA",C3&gt;=600,C3&lt;=1300),H$8,IF(AND(B3="BARCELONA",C3&gt;=600,C3&lt;=1300),H$8,I$8))</f>
        <v>0</v>
      </c>
      <c r="F3" s="6">
        <f>IF(AND(B3="SEVILLA",C3&gt;=700,C3&lt;=1200),H$9,IF(AND(B3="MADRID",C3&gt;=700,C3&lt;=1200),H$10,IF(AND(B3="BARCELONA",C3&gt;=700,C3&lt;=1200),H$11,I$11)))</f>
        <v>80</v>
      </c>
    </row>
    <row r="4" spans="1:9" x14ac:dyDescent="0.25">
      <c r="A4" s="22" t="s">
        <v>66</v>
      </c>
      <c r="B4" s="6" t="s">
        <v>94</v>
      </c>
      <c r="C4" s="8">
        <v>460</v>
      </c>
      <c r="D4" s="6">
        <f t="shared" si="0"/>
        <v>0</v>
      </c>
      <c r="E4" s="6">
        <f t="shared" si="1"/>
        <v>0</v>
      </c>
      <c r="F4" s="6">
        <f>IF(AND(B4="SEVILLA",C4&gt;=700,C4&lt;=1200),H$9,IF(AND(B4="MADRID",C4&gt;=700,C4&lt;=1200),H$10,IF(AND(B4="BARCELONA",C4&gt;=700,C4&lt;=1200),H$11,I$11)))</f>
        <v>0</v>
      </c>
    </row>
    <row r="5" spans="1:9" x14ac:dyDescent="0.25">
      <c r="A5" s="22" t="s">
        <v>90</v>
      </c>
      <c r="B5" s="6" t="s">
        <v>103</v>
      </c>
      <c r="C5" s="8">
        <v>500</v>
      </c>
      <c r="D5" s="6">
        <f t="shared" si="0"/>
        <v>0</v>
      </c>
      <c r="E5" s="6">
        <f t="shared" si="1"/>
        <v>0</v>
      </c>
      <c r="F5" s="6">
        <f>IF(AND(B5="SEVILLA",C5&gt;=700,C5&lt;=1200),H$9,IF(AND(B5="MADRID",C5&gt;=700,C5&lt;=1200),H$10,IF(AND(B5="BARCELONA",C5&gt;=700,C5&lt;=1200),H$11,I$11)))</f>
        <v>0</v>
      </c>
    </row>
    <row r="6" spans="1:9" ht="15.75" thickBot="1" x14ac:dyDescent="0.3"/>
    <row r="7" spans="1:9" x14ac:dyDescent="0.25">
      <c r="B7" s="23" t="s">
        <v>106</v>
      </c>
      <c r="C7" s="24" t="s">
        <v>107</v>
      </c>
      <c r="D7" s="25"/>
      <c r="E7" s="25"/>
      <c r="F7" s="25"/>
      <c r="G7" s="25"/>
      <c r="H7" s="25">
        <v>100</v>
      </c>
      <c r="I7" s="26">
        <v>0</v>
      </c>
    </row>
    <row r="8" spans="1:9" x14ac:dyDescent="0.25">
      <c r="B8" s="27" t="s">
        <v>100</v>
      </c>
      <c r="C8" s="2" t="s">
        <v>108</v>
      </c>
      <c r="H8">
        <v>200</v>
      </c>
      <c r="I8" s="28">
        <v>0</v>
      </c>
    </row>
    <row r="9" spans="1:9" x14ac:dyDescent="0.25">
      <c r="B9" s="27" t="s">
        <v>101</v>
      </c>
      <c r="C9" s="2" t="s">
        <v>109</v>
      </c>
      <c r="H9">
        <v>60</v>
      </c>
      <c r="I9" s="28">
        <v>0</v>
      </c>
    </row>
    <row r="10" spans="1:9" x14ac:dyDescent="0.25">
      <c r="B10" s="29"/>
      <c r="C10" s="2" t="s">
        <v>110</v>
      </c>
      <c r="H10">
        <v>80</v>
      </c>
      <c r="I10" s="28">
        <v>0</v>
      </c>
    </row>
    <row r="11" spans="1:9" ht="15.75" thickBot="1" x14ac:dyDescent="0.3">
      <c r="B11" s="30"/>
      <c r="C11" s="31" t="s">
        <v>111</v>
      </c>
      <c r="D11" s="32"/>
      <c r="E11" s="32"/>
      <c r="F11" s="32"/>
      <c r="G11" s="32"/>
      <c r="H11" s="32">
        <v>90</v>
      </c>
      <c r="I11" s="3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PPTX</vt:lpstr>
      <vt:lpstr>EJERCICIO 1</vt:lpstr>
      <vt:lpstr>EJERCICIO 2</vt:lpstr>
      <vt:lpstr>EJERCICIO 3</vt:lpstr>
      <vt:lpstr>EJERCICIO 4</vt:lpstr>
      <vt:lpstr>EJERCICIO 5</vt:lpstr>
      <vt:lpstr>EJERCICIO 6</vt:lpstr>
      <vt:lpstr>EJERCICIO 7</vt:lpstr>
      <vt:lpstr>EJERCICIO 8</vt:lpstr>
      <vt:lpstr>EJERCICIO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alvarado</dc:creator>
  <cp:lastModifiedBy>fabi0</cp:lastModifiedBy>
  <dcterms:created xsi:type="dcterms:W3CDTF">2015-06-05T18:17:20Z</dcterms:created>
  <dcterms:modified xsi:type="dcterms:W3CDTF">2025-11-24T23:21:01Z</dcterms:modified>
</cp:coreProperties>
</file>