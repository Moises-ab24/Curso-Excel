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abi0\Downloads\Curso-Excel\"/>
    </mc:Choice>
  </mc:AlternateContent>
  <xr:revisionPtr revIDLastSave="0" documentId="13_ncr:1_{8A35D2F3-9BB3-40BD-ACBC-9220F40D0833}" xr6:coauthVersionLast="46" xr6:coauthVersionMax="46" xr10:uidLastSave="{00000000-0000-0000-0000-000000000000}"/>
  <bookViews>
    <workbookView xWindow="-120" yWindow="-120" windowWidth="20730" windowHeight="11040" activeTab="5" xr2:uid="{00000000-000D-0000-FFFF-FFFF00000000}"/>
  </bookViews>
  <sheets>
    <sheet name="PPTX" sheetId="1" r:id="rId1"/>
    <sheet name="MACROS" sheetId="2" r:id="rId2"/>
    <sheet name="DB CLIENTES" sheetId="3" r:id="rId3"/>
    <sheet name="DB PRODUCTOS" sheetId="4" r:id="rId4"/>
    <sheet name="DB FACTURA" sheetId="5" r:id="rId5"/>
    <sheet name="FUNCIONES" sheetId="6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" i="5" l="1"/>
  <c r="F14" i="5"/>
  <c r="F13" i="5"/>
  <c r="F11" i="5"/>
  <c r="F12" i="5"/>
  <c r="F10" i="5"/>
  <c r="C4" i="5"/>
  <c r="D11" i="5"/>
  <c r="D12" i="5"/>
  <c r="D10" i="5"/>
  <c r="C11" i="5"/>
  <c r="C12" i="5"/>
  <c r="C10" i="5"/>
  <c r="E5" i="5"/>
  <c r="E4" i="5"/>
  <c r="J3" i="6"/>
  <c r="J4" i="6"/>
  <c r="J5" i="6"/>
  <c r="J2" i="6"/>
  <c r="I3" i="6"/>
  <c r="I4" i="6"/>
  <c r="I5" i="6"/>
  <c r="I2" i="6"/>
  <c r="F3" i="6"/>
  <c r="F4" i="6"/>
  <c r="F5" i="6"/>
  <c r="F2" i="6"/>
</calcChain>
</file>

<file path=xl/sharedStrings.xml><?xml version="1.0" encoding="utf-8"?>
<sst xmlns="http://schemas.openxmlformats.org/spreadsheetml/2006/main" count="64" uniqueCount="54">
  <si>
    <t>NÚMERO 1</t>
  </si>
  <si>
    <t>NÚMERO 2</t>
  </si>
  <si>
    <t>RESULTADO</t>
  </si>
  <si>
    <t>CALCULADORA</t>
  </si>
  <si>
    <t>CÓDIGO</t>
  </si>
  <si>
    <t>DNI</t>
  </si>
  <si>
    <t>CLIENTE</t>
  </si>
  <si>
    <t>DIRECCIÓN</t>
  </si>
  <si>
    <t>TELÉFONO</t>
  </si>
  <si>
    <t>34541239O</t>
  </si>
  <si>
    <t>45723423A</t>
  </si>
  <si>
    <t>35465396E</t>
  </si>
  <si>
    <t>37123468R</t>
  </si>
  <si>
    <t>39412242S</t>
  </si>
  <si>
    <t>ALBA CARRILLO MORÓN</t>
  </si>
  <si>
    <t>MANEL SILVA PEREA</t>
  </si>
  <si>
    <t>JUAN MUÑOZ VERGARA</t>
  </si>
  <si>
    <t>TAMARA ROLDÁN RIVAS</t>
  </si>
  <si>
    <t>OLGA MONTES SÁNCHEZ</t>
  </si>
  <si>
    <t>SELVA 4</t>
  </si>
  <si>
    <t>RINCÓN JAZMÍN 23</t>
  </si>
  <si>
    <t>PASEO DE LAS ROSAS 15</t>
  </si>
  <si>
    <t>PLAZA ITALIA 9</t>
  </si>
  <si>
    <t>VENECIA 11</t>
  </si>
  <si>
    <t>PRODUCTO</t>
  </si>
  <si>
    <t>PRECIO</t>
  </si>
  <si>
    <t>TV</t>
  </si>
  <si>
    <t>RADIO</t>
  </si>
  <si>
    <t>ORDENADOR</t>
  </si>
  <si>
    <t>PROYECTOR</t>
  </si>
  <si>
    <t>IMPRESORA</t>
  </si>
  <si>
    <t>CANTIDAD</t>
  </si>
  <si>
    <t>VALOR</t>
  </si>
  <si>
    <t>SUBTOTAL</t>
  </si>
  <si>
    <t>IVA</t>
  </si>
  <si>
    <t>TOTAL</t>
  </si>
  <si>
    <t xml:space="preserve"> </t>
  </si>
  <si>
    <t>PERSONAL</t>
  </si>
  <si>
    <t>SUELDO</t>
  </si>
  <si>
    <t>BONO</t>
  </si>
  <si>
    <t>HORAS EXTRA</t>
  </si>
  <si>
    <t>5672934R</t>
  </si>
  <si>
    <t>28942840T</t>
  </si>
  <si>
    <t>48792343A</t>
  </si>
  <si>
    <t>82339201P</t>
  </si>
  <si>
    <t>MARÍA FERNÁNDEZ</t>
  </si>
  <si>
    <t>LORENA NAVARRO</t>
  </si>
  <si>
    <t>PABLO SERRANO</t>
  </si>
  <si>
    <t>TOMÁS AGUILAR</t>
  </si>
  <si>
    <t>INGRESOS</t>
  </si>
  <si>
    <t>MULTA</t>
  </si>
  <si>
    <t>ANTICIPO</t>
  </si>
  <si>
    <t>EGRESO</t>
  </si>
  <si>
    <t>A PAGAR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</si>
</sst>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1" fillId="4" borderId="1" xfId="0" applyFont="1" applyFill="1" applyBorder="1"/>
    <xf numFmtId="0" fontId="0" fillId="5" borderId="1" xfId="0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164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2" fmlaLink="$E$3" fmlaRange="'DB CLIENTES'!$C$2:$C$6" sel="2" val="0"/>
</file>

<file path=xl/ctrlProps/ctrlProp7.xml><?xml version="1.0" encoding="utf-8"?>
<formControlPr xmlns="http://schemas.microsoft.com/office/spreadsheetml/2009/9/main" objectType="Drop" dropStyle="combo" dx="22" fmlaLink="$E$3" fmlaRange="'DB CLIENTES'!$C$2:$C$6" sel="2" val="0"/>
</file>

<file path=xl/ctrlProps/ctrlProp8.xml><?xml version="1.0" encoding="utf-8"?>
<formControlPr xmlns="http://schemas.microsoft.com/office/spreadsheetml/2009/9/main" objectType="Radio" firstButton="1" fmlaLink="$G$14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0</xdr:rowOff>
    </xdr:from>
    <xdr:to>
      <xdr:col>10</xdr:col>
      <xdr:colOff>600075</xdr:colOff>
      <xdr:row>16</xdr:row>
      <xdr:rowOff>152400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190500"/>
          <a:ext cx="5476875" cy="30099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561975</xdr:colOff>
          <xdr:row>2</xdr:row>
          <xdr:rowOff>123825</xdr:rowOff>
        </xdr:from>
        <xdr:to>
          <xdr:col>8</xdr:col>
          <xdr:colOff>0</xdr:colOff>
          <xdr:row>4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571500</xdr:colOff>
          <xdr:row>5</xdr:row>
          <xdr:rowOff>171450</xdr:rowOff>
        </xdr:from>
        <xdr:to>
          <xdr:col>8</xdr:col>
          <xdr:colOff>47625</xdr:colOff>
          <xdr:row>7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2</xdr:row>
          <xdr:rowOff>123825</xdr:rowOff>
        </xdr:from>
        <xdr:to>
          <xdr:col>9</xdr:col>
          <xdr:colOff>619125</xdr:colOff>
          <xdr:row>4</xdr:row>
          <xdr:rowOff>180975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MULTIPLICAR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5</xdr:row>
          <xdr:rowOff>171450</xdr:rowOff>
        </xdr:from>
        <xdr:to>
          <xdr:col>9</xdr:col>
          <xdr:colOff>666750</xdr:colOff>
          <xdr:row>7</xdr:row>
          <xdr:rowOff>152400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DIVIDIR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8</xdr:row>
          <xdr:rowOff>161925</xdr:rowOff>
        </xdr:from>
        <xdr:to>
          <xdr:col>8</xdr:col>
          <xdr:colOff>76200</xdr:colOff>
          <xdr:row>11</xdr:row>
          <xdr:rowOff>47625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3</xdr:col>
          <xdr:colOff>9525</xdr:colOff>
          <xdr:row>3</xdr:row>
          <xdr:rowOff>9525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3</xdr:col>
          <xdr:colOff>9525</xdr:colOff>
          <xdr:row>3</xdr:row>
          <xdr:rowOff>9525</xdr:rowOff>
        </xdr:to>
        <xdr:sp macro="" textlink="">
          <xdr:nvSpPr>
            <xdr:cNvPr id="3080" name="Drop Dow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1285875</xdr:colOff>
          <xdr:row>14</xdr:row>
          <xdr:rowOff>28575</xdr:rowOff>
        </xdr:to>
        <xdr:sp macro="" textlink="">
          <xdr:nvSpPr>
            <xdr:cNvPr id="3081" name="Option 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 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9525</xdr:rowOff>
        </xdr:from>
        <xdr:to>
          <xdr:col>2</xdr:col>
          <xdr:colOff>1285875</xdr:colOff>
          <xdr:row>15</xdr:row>
          <xdr:rowOff>38100</xdr:rowOff>
        </xdr:to>
        <xdr:sp macro="" textlink="">
          <xdr:nvSpPr>
            <xdr:cNvPr id="3082" name="Option 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4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SIN 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16</xdr:row>
          <xdr:rowOff>9525</xdr:rowOff>
        </xdr:from>
        <xdr:to>
          <xdr:col>2</xdr:col>
          <xdr:colOff>952500</xdr:colOff>
          <xdr:row>17</xdr:row>
          <xdr:rowOff>95250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NUEVO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1066800</xdr:colOff>
          <xdr:row>16</xdr:row>
          <xdr:rowOff>9525</xdr:rowOff>
        </xdr:from>
        <xdr:to>
          <xdr:col>3</xdr:col>
          <xdr:colOff>57150</xdr:colOff>
          <xdr:row>17</xdr:row>
          <xdr:rowOff>95250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"/>
  <sheetViews>
    <sheetView workbookViewId="0">
      <selection activeCell="N11" sqref="N11"/>
    </sheetView>
  </sheetViews>
  <sheetFormatPr baseColWidth="10" defaultColWidth="9.140625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EA5B8-1F29-4F43-A511-7BB7787319F6}">
  <sheetPr codeName="Hoja2"/>
  <dimension ref="E3:F7"/>
  <sheetViews>
    <sheetView showGridLines="0" zoomScale="95" workbookViewId="0">
      <selection activeCell="E13" sqref="E13"/>
    </sheetView>
  </sheetViews>
  <sheetFormatPr baseColWidth="10" defaultRowHeight="15" x14ac:dyDescent="0.25"/>
  <cols>
    <col min="5" max="5" width="14.5703125" bestFit="1" customWidth="1"/>
  </cols>
  <sheetData>
    <row r="3" spans="5:6" x14ac:dyDescent="0.25">
      <c r="E3" s="3" t="s">
        <v>3</v>
      </c>
    </row>
    <row r="5" spans="5:6" ht="18.75" x14ac:dyDescent="0.3">
      <c r="E5" s="2" t="s">
        <v>0</v>
      </c>
      <c r="F5" s="1"/>
    </row>
    <row r="6" spans="5:6" ht="18.75" x14ac:dyDescent="0.3">
      <c r="E6" s="2" t="s">
        <v>1</v>
      </c>
      <c r="F6" s="1"/>
    </row>
    <row r="7" spans="5:6" ht="18.75" x14ac:dyDescent="0.3">
      <c r="E7" s="2" t="s">
        <v>2</v>
      </c>
      <c r="F7" s="1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UMAR">
                <anchor moveWithCells="1" sizeWithCells="1">
                  <from>
                    <xdr:col>6</xdr:col>
                    <xdr:colOff>561975</xdr:colOff>
                    <xdr:row>2</xdr:row>
                    <xdr:rowOff>123825</xdr:rowOff>
                  </from>
                  <to>
                    <xdr:col>8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STAR">
                <anchor moveWithCells="1" sizeWithCells="1">
                  <from>
                    <xdr:col>6</xdr:col>
                    <xdr:colOff>571500</xdr:colOff>
                    <xdr:row>5</xdr:row>
                    <xdr:rowOff>171450</xdr:rowOff>
                  </from>
                  <to>
                    <xdr:col>8</xdr:col>
                    <xdr:colOff>47625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MULTIPLICAR">
                <anchor moveWithCells="1" sizeWithCells="1">
                  <from>
                    <xdr:col>8</xdr:col>
                    <xdr:colOff>314325</xdr:colOff>
                    <xdr:row>2</xdr:row>
                    <xdr:rowOff>123825</xdr:rowOff>
                  </from>
                  <to>
                    <xdr:col>9</xdr:col>
                    <xdr:colOff>619125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DIVIDIR">
                <anchor moveWithCells="1" sizeWithCells="1">
                  <from>
                    <xdr:col>8</xdr:col>
                    <xdr:colOff>304800</xdr:colOff>
                    <xdr:row>5</xdr:row>
                    <xdr:rowOff>171450</xdr:rowOff>
                  </from>
                  <to>
                    <xdr:col>9</xdr:col>
                    <xdr:colOff>666750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LIMPIAR">
                <anchor moveWithCells="1" sizeWithCells="1">
                  <from>
                    <xdr:col>6</xdr:col>
                    <xdr:colOff>581025</xdr:colOff>
                    <xdr:row>8</xdr:row>
                    <xdr:rowOff>161925</xdr:rowOff>
                  </from>
                  <to>
                    <xdr:col>8</xdr:col>
                    <xdr:colOff>76200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466DA-8899-40B9-8BFA-D5BC5832681C}">
  <sheetPr codeName="Hoja3"/>
  <dimension ref="A1:E6"/>
  <sheetViews>
    <sheetView workbookViewId="0">
      <selection activeCell="B4" sqref="B4"/>
    </sheetView>
  </sheetViews>
  <sheetFormatPr baseColWidth="10" defaultRowHeight="15" x14ac:dyDescent="0.25"/>
  <cols>
    <col min="3" max="3" width="22.28515625" bestFit="1" customWidth="1"/>
    <col min="4" max="4" width="22.140625" bestFit="1" customWidth="1"/>
  </cols>
  <sheetData>
    <row r="1" spans="1:5" x14ac:dyDescent="0.25">
      <c r="A1" s="4" t="s">
        <v>4</v>
      </c>
      <c r="B1" s="4" t="s">
        <v>5</v>
      </c>
      <c r="C1" s="4" t="s">
        <v>6</v>
      </c>
      <c r="D1" s="4" t="s">
        <v>7</v>
      </c>
      <c r="E1" s="4" t="s">
        <v>8</v>
      </c>
    </row>
    <row r="2" spans="1:5" x14ac:dyDescent="0.25">
      <c r="A2" s="5">
        <v>1</v>
      </c>
      <c r="B2" s="5" t="s">
        <v>9</v>
      </c>
      <c r="C2" s="5" t="s">
        <v>14</v>
      </c>
      <c r="D2" s="5" t="s">
        <v>19</v>
      </c>
      <c r="E2" s="5">
        <v>692345124</v>
      </c>
    </row>
    <row r="3" spans="1:5" x14ac:dyDescent="0.25">
      <c r="A3" s="5">
        <v>2</v>
      </c>
      <c r="B3" s="5" t="s">
        <v>10</v>
      </c>
      <c r="C3" s="5" t="s">
        <v>15</v>
      </c>
      <c r="D3" s="5" t="s">
        <v>20</v>
      </c>
      <c r="E3" s="5">
        <v>689236121</v>
      </c>
    </row>
    <row r="4" spans="1:5" x14ac:dyDescent="0.25">
      <c r="A4" s="5">
        <v>3</v>
      </c>
      <c r="B4" s="5" t="s">
        <v>11</v>
      </c>
      <c r="C4" s="5" t="s">
        <v>16</v>
      </c>
      <c r="D4" s="5" t="s">
        <v>21</v>
      </c>
      <c r="E4" s="5">
        <v>659346299</v>
      </c>
    </row>
    <row r="5" spans="1:5" x14ac:dyDescent="0.25">
      <c r="A5" s="5">
        <v>4</v>
      </c>
      <c r="B5" s="5" t="s">
        <v>12</v>
      </c>
      <c r="C5" s="5" t="s">
        <v>17</v>
      </c>
      <c r="D5" s="5" t="s">
        <v>22</v>
      </c>
      <c r="E5" s="5">
        <v>693235962</v>
      </c>
    </row>
    <row r="6" spans="1:5" x14ac:dyDescent="0.25">
      <c r="A6" s="5">
        <v>5</v>
      </c>
      <c r="B6" s="5" t="s">
        <v>13</v>
      </c>
      <c r="C6" s="5" t="s">
        <v>18</v>
      </c>
      <c r="D6" s="5" t="s">
        <v>23</v>
      </c>
      <c r="E6" s="5">
        <v>694126913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F3F8A-E0D3-4A72-BA7A-A49CAFDC415B}">
  <sheetPr codeName="Hoja4"/>
  <dimension ref="A1:C6"/>
  <sheetViews>
    <sheetView workbookViewId="0">
      <selection activeCell="E6" sqref="E6"/>
    </sheetView>
  </sheetViews>
  <sheetFormatPr baseColWidth="10" defaultRowHeight="15" x14ac:dyDescent="0.25"/>
  <sheetData>
    <row r="1" spans="1:3" x14ac:dyDescent="0.25">
      <c r="A1" s="4" t="s">
        <v>4</v>
      </c>
      <c r="B1" s="4" t="s">
        <v>24</v>
      </c>
      <c r="C1" s="4" t="s">
        <v>25</v>
      </c>
    </row>
    <row r="2" spans="1:3" x14ac:dyDescent="0.25">
      <c r="A2" s="5">
        <v>1</v>
      </c>
      <c r="B2" s="5" t="s">
        <v>26</v>
      </c>
      <c r="C2" s="5">
        <v>100.56</v>
      </c>
    </row>
    <row r="3" spans="1:3" x14ac:dyDescent="0.25">
      <c r="A3" s="5">
        <v>2</v>
      </c>
      <c r="B3" s="5" t="s">
        <v>27</v>
      </c>
      <c r="C3" s="5">
        <v>120.45</v>
      </c>
    </row>
    <row r="4" spans="1:3" x14ac:dyDescent="0.25">
      <c r="A4" s="5">
        <v>3</v>
      </c>
      <c r="B4" s="5" t="s">
        <v>28</v>
      </c>
      <c r="C4" s="5">
        <v>250.99</v>
      </c>
    </row>
    <row r="5" spans="1:3" x14ac:dyDescent="0.25">
      <c r="A5" s="5">
        <v>4</v>
      </c>
      <c r="B5" s="5" t="s">
        <v>29</v>
      </c>
      <c r="C5" s="5">
        <v>450</v>
      </c>
    </row>
    <row r="6" spans="1:3" x14ac:dyDescent="0.25">
      <c r="A6" s="5">
        <v>5</v>
      </c>
      <c r="B6" s="5" t="s">
        <v>30</v>
      </c>
      <c r="C6" s="5">
        <v>1200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266DA-2131-46EF-84C2-5649EF6313DB}">
  <sheetPr codeName="Hoja5"/>
  <dimension ref="B3:G16"/>
  <sheetViews>
    <sheetView workbookViewId="0">
      <selection activeCell="G13" sqref="G13"/>
    </sheetView>
  </sheetViews>
  <sheetFormatPr baseColWidth="10" defaultRowHeight="15" x14ac:dyDescent="0.25"/>
  <cols>
    <col min="3" max="3" width="29.42578125" customWidth="1"/>
    <col min="5" max="5" width="18.5703125" customWidth="1"/>
    <col min="6" max="6" width="11.85546875" bestFit="1" customWidth="1"/>
  </cols>
  <sheetData>
    <row r="3" spans="2:7" x14ac:dyDescent="0.25">
      <c r="B3" s="4" t="s">
        <v>6</v>
      </c>
      <c r="C3" s="5"/>
      <c r="D3" s="4" t="s">
        <v>4</v>
      </c>
      <c r="E3" s="6">
        <v>2</v>
      </c>
    </row>
    <row r="4" spans="2:7" x14ac:dyDescent="0.25">
      <c r="B4" s="4" t="s">
        <v>5</v>
      </c>
      <c r="C4" s="6" t="str">
        <f>VLOOKUP($E$3,'DB CLIENTES'!$A$1:$E$6,2,FALSE)</f>
        <v>45723423A</v>
      </c>
      <c r="D4" s="4" t="s">
        <v>7</v>
      </c>
      <c r="E4" s="6">
        <f>VLOOKUP($E$3,'DB CLIENTES'!$A$1:$E$6,5,FALSE)</f>
        <v>689236121</v>
      </c>
    </row>
    <row r="5" spans="2:7" x14ac:dyDescent="0.25">
      <c r="D5" s="4" t="s">
        <v>8</v>
      </c>
      <c r="E5" s="6" t="str">
        <f>VLOOKUP($E$3,'DB CLIENTES'!$A$1:$E$6,4,FALSE)</f>
        <v>RINCÓN JAZMÍN 23</v>
      </c>
    </row>
    <row r="9" spans="2:7" x14ac:dyDescent="0.25">
      <c r="B9" s="4" t="s">
        <v>4</v>
      </c>
      <c r="C9" s="4" t="s">
        <v>24</v>
      </c>
      <c r="D9" s="4" t="s">
        <v>25</v>
      </c>
      <c r="E9" s="4" t="s">
        <v>31</v>
      </c>
      <c r="F9" s="4" t="s">
        <v>32</v>
      </c>
    </row>
    <row r="10" spans="2:7" x14ac:dyDescent="0.25">
      <c r="B10" s="5">
        <v>3</v>
      </c>
      <c r="C10" s="5" t="str">
        <f>VLOOKUP($B10,'DB PRODUCTOS'!$A$1:$C$6,2,FALSE)</f>
        <v>ORDENADOR</v>
      </c>
      <c r="D10" s="5">
        <f>VLOOKUP($B10,'DB PRODUCTOS'!$A$1:$C$6,3,FALSE)</f>
        <v>250.99</v>
      </c>
      <c r="E10" s="5">
        <v>6</v>
      </c>
      <c r="F10" s="5">
        <f>D10*E10</f>
        <v>1505.94</v>
      </c>
    </row>
    <row r="11" spans="2:7" x14ac:dyDescent="0.25">
      <c r="B11" s="5">
        <v>5</v>
      </c>
      <c r="C11" s="5" t="str">
        <f>VLOOKUP($B11,'DB PRODUCTOS'!$A$1:$C$6,2,FALSE)</f>
        <v>IMPRESORA</v>
      </c>
      <c r="D11" s="5">
        <f>VLOOKUP($B11,'DB PRODUCTOS'!$A$1:$C$6,3,FALSE)</f>
        <v>1200</v>
      </c>
      <c r="E11" s="5">
        <v>1</v>
      </c>
      <c r="F11" s="5">
        <f t="shared" ref="F11:F12" si="0">D11*E11</f>
        <v>1200</v>
      </c>
    </row>
    <row r="12" spans="2:7" x14ac:dyDescent="0.25">
      <c r="B12" s="5">
        <v>2</v>
      </c>
      <c r="C12" s="5" t="str">
        <f>VLOOKUP($B12,'DB PRODUCTOS'!$A$1:$C$6,2,FALSE)</f>
        <v>RADIO</v>
      </c>
      <c r="D12" s="5">
        <f>VLOOKUP($B12,'DB PRODUCTOS'!$A$1:$C$6,3,FALSE)</f>
        <v>120.45</v>
      </c>
      <c r="E12" s="5">
        <v>8</v>
      </c>
      <c r="F12" s="5">
        <f t="shared" si="0"/>
        <v>963.6</v>
      </c>
    </row>
    <row r="13" spans="2:7" x14ac:dyDescent="0.25">
      <c r="E13" s="4" t="s">
        <v>33</v>
      </c>
      <c r="F13" s="5">
        <f>SUM(F10:F12)</f>
        <v>3669.54</v>
      </c>
    </row>
    <row r="14" spans="2:7" x14ac:dyDescent="0.25">
      <c r="E14" s="4" t="s">
        <v>34</v>
      </c>
      <c r="F14" s="5">
        <f>IF(G14=1,F13*21%,0)</f>
        <v>0</v>
      </c>
      <c r="G14">
        <v>2</v>
      </c>
    </row>
    <row r="15" spans="2:7" x14ac:dyDescent="0.25">
      <c r="E15" s="4" t="s">
        <v>35</v>
      </c>
      <c r="F15" s="5">
        <f>SUM(F13:F14)</f>
        <v>3669.54</v>
      </c>
    </row>
    <row r="16" spans="2:7" x14ac:dyDescent="0.25">
      <c r="F16" t="s">
        <v>36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rop Down 1">
              <controlPr defaultSize="0" autoLine="0" autoPict="0">
                <anchor mov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3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Drop Down 8">
              <controlPr defaultSize="0" autoLine="0" autoPict="0">
                <anchor mov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3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Option Button 9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1285875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Option Button 10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9525</xdr:rowOff>
                  </from>
                  <to>
                    <xdr:col>2</xdr:col>
                    <xdr:colOff>1285875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8" name="Button 11">
              <controlPr defaultSize="0" print="0" autoFill="0" autoPict="0" macro="[0]!NUEVO">
                <anchor moveWithCells="1" sizeWithCells="1">
                  <from>
                    <xdr:col>2</xdr:col>
                    <xdr:colOff>0</xdr:colOff>
                    <xdr:row>16</xdr:row>
                    <xdr:rowOff>9525</xdr:rowOff>
                  </from>
                  <to>
                    <xdr:col>2</xdr:col>
                    <xdr:colOff>952500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9" name="Button 12">
              <controlPr defaultSize="0" print="0" autoFill="0" autoPict="0" macro="[0]!CALCULAR">
                <anchor moveWithCells="1" sizeWithCells="1">
                  <from>
                    <xdr:col>2</xdr:col>
                    <xdr:colOff>1066800</xdr:colOff>
                    <xdr:row>16</xdr:row>
                    <xdr:rowOff>9525</xdr:rowOff>
                  </from>
                  <to>
                    <xdr:col>3</xdr:col>
                    <xdr:colOff>57150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00BB4-A635-4517-8A87-8EC70EC5F006}">
  <sheetPr codeName="Hoja6"/>
  <dimension ref="A1:J5"/>
  <sheetViews>
    <sheetView tabSelected="1" zoomScale="99" workbookViewId="0">
      <selection activeCell="G16" sqref="G16"/>
    </sheetView>
  </sheetViews>
  <sheetFormatPr baseColWidth="10" defaultRowHeight="15" x14ac:dyDescent="0.25"/>
  <cols>
    <col min="2" max="2" width="18.140625" bestFit="1" customWidth="1"/>
    <col min="5" max="5" width="13.140625" bestFit="1" customWidth="1"/>
    <col min="6" max="6" width="11.85546875" bestFit="1" customWidth="1"/>
  </cols>
  <sheetData>
    <row r="1" spans="1:10" x14ac:dyDescent="0.25">
      <c r="A1" s="4" t="s">
        <v>5</v>
      </c>
      <c r="B1" s="4" t="s">
        <v>37</v>
      </c>
      <c r="C1" s="4" t="s">
        <v>38</v>
      </c>
      <c r="D1" s="4" t="s">
        <v>39</v>
      </c>
      <c r="E1" s="4" t="s">
        <v>40</v>
      </c>
      <c r="F1" s="4" t="s">
        <v>49</v>
      </c>
      <c r="G1" s="4" t="s">
        <v>50</v>
      </c>
      <c r="H1" s="4" t="s">
        <v>51</v>
      </c>
      <c r="I1" s="4" t="s">
        <v>52</v>
      </c>
      <c r="J1" s="4" t="s">
        <v>53</v>
      </c>
    </row>
    <row r="2" spans="1:10" x14ac:dyDescent="0.25">
      <c r="A2" s="5" t="s">
        <v>41</v>
      </c>
      <c r="B2" s="5" t="s">
        <v>45</v>
      </c>
      <c r="C2" s="7">
        <v>500</v>
      </c>
      <c r="D2" s="7">
        <v>120</v>
      </c>
      <c r="E2" s="7">
        <v>24</v>
      </c>
      <c r="F2" s="7">
        <f>INGRESOS(C2,D2,E2)</f>
        <v>644</v>
      </c>
      <c r="G2" s="7">
        <v>120</v>
      </c>
      <c r="H2" s="7">
        <v>50</v>
      </c>
      <c r="I2" s="7">
        <f>EGRESO(G2,H2)</f>
        <v>170</v>
      </c>
      <c r="J2" s="7">
        <f>aPAGAR(F2,I2)</f>
        <v>474</v>
      </c>
    </row>
    <row r="3" spans="1:10" x14ac:dyDescent="0.25">
      <c r="A3" s="5" t="s">
        <v>42</v>
      </c>
      <c r="B3" s="5" t="s">
        <v>46</v>
      </c>
      <c r="C3" s="7">
        <v>980</v>
      </c>
      <c r="D3" s="7">
        <v>150</v>
      </c>
      <c r="E3" s="7">
        <v>100</v>
      </c>
      <c r="F3" s="7">
        <f t="shared" ref="F3:F5" si="0">INGRESOS(C3,D3,E3)</f>
        <v>1230</v>
      </c>
      <c r="G3" s="7">
        <v>130</v>
      </c>
      <c r="H3" s="7">
        <v>80</v>
      </c>
      <c r="I3" s="7">
        <f t="shared" ref="I3:I5" si="1">EGRESO(G3,H3)</f>
        <v>210</v>
      </c>
      <c r="J3" s="7">
        <f t="shared" ref="J3:J5" si="2">aPAGAR(F3,I3)</f>
        <v>1020</v>
      </c>
    </row>
    <row r="4" spans="1:10" x14ac:dyDescent="0.25">
      <c r="A4" s="5" t="s">
        <v>43</v>
      </c>
      <c r="B4" s="5" t="s">
        <v>47</v>
      </c>
      <c r="C4" s="7">
        <v>1200</v>
      </c>
      <c r="D4" s="7">
        <v>60</v>
      </c>
      <c r="E4" s="7">
        <v>80</v>
      </c>
      <c r="F4" s="7">
        <f t="shared" si="0"/>
        <v>1340</v>
      </c>
      <c r="G4" s="7">
        <v>90</v>
      </c>
      <c r="H4" s="7">
        <v>75</v>
      </c>
      <c r="I4" s="7">
        <f t="shared" si="1"/>
        <v>165</v>
      </c>
      <c r="J4" s="7">
        <f t="shared" si="2"/>
        <v>1175</v>
      </c>
    </row>
    <row r="5" spans="1:10" x14ac:dyDescent="0.25">
      <c r="A5" s="5" t="s">
        <v>44</v>
      </c>
      <c r="B5" s="5" t="s">
        <v>48</v>
      </c>
      <c r="C5" s="7">
        <v>670</v>
      </c>
      <c r="D5" s="7">
        <v>90</v>
      </c>
      <c r="E5" s="7">
        <v>30</v>
      </c>
      <c r="F5" s="7">
        <f t="shared" si="0"/>
        <v>790</v>
      </c>
      <c r="G5" s="7">
        <v>145</v>
      </c>
      <c r="H5" s="7">
        <v>100</v>
      </c>
      <c r="I5" s="7">
        <f t="shared" si="1"/>
        <v>245</v>
      </c>
      <c r="J5" s="7">
        <f t="shared" si="2"/>
        <v>545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PPTX</vt:lpstr>
      <vt:lpstr>MACROS</vt:lpstr>
      <vt:lpstr>DB CLIENTES</vt:lpstr>
      <vt:lpstr>DB PRODUCTOS</vt:lpstr>
      <vt:lpstr>DB FACTURA</vt:lpstr>
      <vt:lpstr>FUNCIONES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fabiola alvarado</dc:creator>
  <cp:lastModifiedBy>fabi0</cp:lastModifiedBy>
  <dcterms:created xsi:type="dcterms:W3CDTF">2015-06-05T18:17:20Z</dcterms:created>
  <dcterms:modified xsi:type="dcterms:W3CDTF">2025-12-07T02:02:15Z</dcterms:modified>
</cp:coreProperties>
</file>