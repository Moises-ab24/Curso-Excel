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2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3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fabi0\Downloads\Curso-Excel\"/>
    </mc:Choice>
  </mc:AlternateContent>
  <xr:revisionPtr revIDLastSave="0" documentId="13_ncr:1_{8221EF23-B3F9-408A-9823-C6CF9A871E46}" xr6:coauthVersionLast="46" xr6:coauthVersionMax="46" xr10:uidLastSave="{00000000-0000-0000-0000-000000000000}"/>
  <bookViews>
    <workbookView xWindow="-120" yWindow="-120" windowWidth="20730" windowHeight="11040" firstSheet="12" activeTab="16" xr2:uid="{00000000-000D-0000-FFFF-FFFF00000000}"/>
  </bookViews>
  <sheets>
    <sheet name="PPTX" sheetId="1" r:id="rId1"/>
    <sheet name="EJERCICIO 1" sheetId="2" r:id="rId2"/>
    <sheet name="EJERCICIO 2" sheetId="3" r:id="rId3"/>
    <sheet name="EJERCICIO 3" sheetId="4" r:id="rId4"/>
    <sheet name="RESULTADOS 3" sheetId="5" r:id="rId5"/>
    <sheet name="EJERCICIO 4" sheetId="6" r:id="rId6"/>
    <sheet name="EJERCICIO 5" sheetId="7" r:id="rId7"/>
    <sheet name="RESULTADOS 5" sheetId="8" r:id="rId8"/>
    <sheet name="EJERCICIO 6" sheetId="9" r:id="rId9"/>
    <sheet name="EJERCICIO 7" sheetId="10" r:id="rId10"/>
    <sheet name="PREVISION" sheetId="11" r:id="rId11"/>
    <sheet name="EJERCICIO 8" sheetId="12" r:id="rId12"/>
    <sheet name="TABLA DINÁMICA" sheetId="13" r:id="rId13"/>
    <sheet name="TABLA DINÁMICA 2" sheetId="14" r:id="rId14"/>
    <sheet name="GRÁFICO DINÁMICO" sheetId="15" r:id="rId15"/>
    <sheet name="EJERCICIO 9" sheetId="16" r:id="rId16"/>
    <sheet name="EJERCICIO 10" sheetId="17" r:id="rId17"/>
  </sheets>
  <definedNames>
    <definedName name="_xlnm._FilterDatabase" localSheetId="1" hidden="1">'EJERCICIO 1'!$A$1:$D$19</definedName>
    <definedName name="_xlnm._FilterDatabase" localSheetId="8" hidden="1">'EJERCICIO 6'!$G$1:$J$19</definedName>
    <definedName name="ABRIL">'EJERCICIO 2'!$G$10:$J$13</definedName>
    <definedName name="_xlnm.Extract" localSheetId="1">'EJERCICIO 1'!$F$4:$I$4</definedName>
    <definedName name="_xlnm.Extract" localSheetId="8">'EJERCICIO 6'!$G$22:$J$22</definedName>
    <definedName name="_xlnm.Criteria" localSheetId="1">'EJERCICIO 1'!$F$1:$I$2</definedName>
    <definedName name="_xlnm.Criteria" localSheetId="8">'EJERCICIO 6'!#REF!</definedName>
    <definedName name="ENERO">'EJERCICIO 2'!$B$4:$E$7</definedName>
    <definedName name="FEBRERO">'EJERCICIO 2'!$G$4:$J$7</definedName>
    <definedName name="JUNIO">'EJERCICIO 2'!$G$16:$J$19</definedName>
    <definedName name="MARZO">'EJERCICIO 2'!$B$10:$E$13</definedName>
    <definedName name="MAYO">'EJERCICIO 2'!$B$16:$E$19</definedName>
  </definedNames>
  <calcPr calcId="181029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7" l="1"/>
  <c r="B3" i="17"/>
  <c r="B7" i="16" l="1"/>
  <c r="C3" i="7"/>
  <c r="C4" i="7"/>
  <c r="C5" i="7"/>
  <c r="C6" i="7"/>
  <c r="C7" i="7"/>
  <c r="C2" i="7"/>
  <c r="B14" i="6"/>
  <c r="B12" i="6"/>
  <c r="C2" i="6"/>
  <c r="C6" i="6" s="1"/>
  <c r="C3" i="6"/>
  <c r="C4" i="6"/>
  <c r="C5" i="6"/>
  <c r="E3" i="4"/>
  <c r="E4" i="4"/>
  <c r="E5" i="4"/>
  <c r="E6" i="4"/>
  <c r="E7" i="4"/>
  <c r="E2" i="4"/>
  <c r="C8" i="11"/>
  <c r="C11" i="11"/>
  <c r="C12" i="11"/>
  <c r="C9" i="11"/>
  <c r="C13" i="11"/>
  <c r="C10" i="11"/>
  <c r="D10" i="11"/>
  <c r="D9" i="11"/>
  <c r="E11" i="11"/>
  <c r="D13" i="11"/>
  <c r="E8" i="11"/>
  <c r="D12" i="11"/>
  <c r="E10" i="11"/>
  <c r="E9" i="11"/>
  <c r="D11" i="11"/>
  <c r="E12" i="11"/>
  <c r="E13" i="11"/>
  <c r="D8" i="11"/>
</calcChain>
</file>

<file path=xl/sharedStrings.xml><?xml version="1.0" encoding="utf-8"?>
<sst xmlns="http://schemas.openxmlformats.org/spreadsheetml/2006/main" count="561" uniqueCount="63">
  <si>
    <t>MES</t>
  </si>
  <si>
    <t>VENDEDOR</t>
  </si>
  <si>
    <t>CIUDAD</t>
  </si>
  <si>
    <t>VENTA</t>
  </si>
  <si>
    <t>ENERO</t>
  </si>
  <si>
    <t>FEBRERO</t>
  </si>
  <si>
    <t>MARZO</t>
  </si>
  <si>
    <t>ABRIL</t>
  </si>
  <si>
    <t>MAYO</t>
  </si>
  <si>
    <t>JUNIO</t>
  </si>
  <si>
    <t>JOSÉ</t>
  </si>
  <si>
    <t>MIGUEL</t>
  </si>
  <si>
    <t>JUAN</t>
  </si>
  <si>
    <t>MADRID</t>
  </si>
  <si>
    <t>BARCELONA</t>
  </si>
  <si>
    <t>SEVILLA</t>
  </si>
  <si>
    <t>TV</t>
  </si>
  <si>
    <t>RADIO</t>
  </si>
  <si>
    <t>ORDENADORES</t>
  </si>
  <si>
    <t>MARIA</t>
  </si>
  <si>
    <t>ELENA</t>
  </si>
  <si>
    <t>TOTAL</t>
  </si>
  <si>
    <t>MEDIA</t>
  </si>
  <si>
    <t>MENORES</t>
  </si>
  <si>
    <t>MAYORES</t>
  </si>
  <si>
    <t>INGRESOS</t>
  </si>
  <si>
    <t>COSTOS</t>
  </si>
  <si>
    <t>UTILIDAD</t>
  </si>
  <si>
    <t>GASTOS</t>
  </si>
  <si>
    <t>PRODUCTO</t>
  </si>
  <si>
    <t>VENTAS</t>
  </si>
  <si>
    <t>ORDENADOR</t>
  </si>
  <si>
    <t>PROYECTOR</t>
  </si>
  <si>
    <t>%</t>
  </si>
  <si>
    <t xml:space="preserve">  </t>
  </si>
  <si>
    <t>PERSONAL</t>
  </si>
  <si>
    <t>INTROVERTIDO</t>
  </si>
  <si>
    <t>ESTROVERTIDO</t>
  </si>
  <si>
    <t>AGRESIVO</t>
  </si>
  <si>
    <t>PASIVO</t>
  </si>
  <si>
    <t>JULIO</t>
  </si>
  <si>
    <t>AGOSTO</t>
  </si>
  <si>
    <t>SEPTIEMBRE</t>
  </si>
  <si>
    <t>OCTUBRE</t>
  </si>
  <si>
    <t>NOVIEMBRE</t>
  </si>
  <si>
    <t>DICIEMBRE</t>
  </si>
  <si>
    <t>NÚMERO</t>
  </si>
  <si>
    <t>Previsión(INGRESOS)</t>
  </si>
  <si>
    <t>Límite de confianza inferior(INGRESOS)</t>
  </si>
  <si>
    <t>Límite de confianza superior(INGRESOS)</t>
  </si>
  <si>
    <t>Etiquetas de fila</t>
  </si>
  <si>
    <t>Suma de VENTA</t>
  </si>
  <si>
    <t>Total general</t>
  </si>
  <si>
    <t>Etiquetas de columna</t>
  </si>
  <si>
    <t>(Todas)</t>
  </si>
  <si>
    <t>PRECIO</t>
  </si>
  <si>
    <t xml:space="preserve">DESCUENTO </t>
  </si>
  <si>
    <t>COSTO</t>
  </si>
  <si>
    <t>CANTIDAD</t>
  </si>
  <si>
    <t>MARGEN</t>
  </si>
  <si>
    <t>DESCUENTO</t>
  </si>
  <si>
    <t>PRECIO DESCONTADO</t>
  </si>
  <si>
    <t>COSTO DESCONTADO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</si>
</sst>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/>
    <xf numFmtId="164" fontId="0" fillId="2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9" fontId="0" fillId="0" borderId="0" xfId="1" applyFont="1"/>
    <xf numFmtId="9" fontId="0" fillId="0" borderId="1" xfId="1" applyFont="1" applyBorder="1"/>
    <xf numFmtId="9" fontId="0" fillId="0" borderId="0" xfId="0" applyNumberFormat="1"/>
    <xf numFmtId="10" fontId="0" fillId="0" borderId="1" xfId="1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9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164" fontId="0" fillId="3" borderId="1" xfId="0" applyNumberFormat="1" applyFill="1" applyBorder="1"/>
    <xf numFmtId="2" fontId="0" fillId="3" borderId="1" xfId="0" applyNumberFormat="1" applyFill="1" applyBorder="1"/>
    <xf numFmtId="164" fontId="0" fillId="4" borderId="1" xfId="0" applyNumberFormat="1" applyFill="1" applyBorder="1"/>
    <xf numFmtId="9" fontId="0" fillId="4" borderId="1" xfId="0" applyNumberFormat="1" applyFill="1" applyBorder="1"/>
  </cellXfs>
  <cellStyles count="2">
    <cellStyle name="Normal" xfId="0" builtinId="0"/>
    <cellStyle name="Porcentaje" xfId="1" builtinId="5"/>
  </cellStyles>
  <dxfs count="3"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13" Type="http://schemas.openxmlformats.org/officeDocument/2006/relationships/worksheet" Target="worksheets/sheet11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9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3.xml"/><Relationship Id="rId10" Type="http://schemas.openxmlformats.org/officeDocument/2006/relationships/worksheet" Target="worksheets/sheet8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3'!$B$1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'EJERCICIO 3'!$A$2:$A$7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'EJERCICIO 3'!$B$2:$B$7</c:f>
              <c:numCache>
                <c:formatCode>"$"#,##0.00</c:formatCode>
                <c:ptCount val="6"/>
                <c:pt idx="0">
                  <c:v>2394</c:v>
                </c:pt>
                <c:pt idx="1">
                  <c:v>2365</c:v>
                </c:pt>
                <c:pt idx="2">
                  <c:v>1245</c:v>
                </c:pt>
                <c:pt idx="3">
                  <c:v>3421</c:v>
                </c:pt>
                <c:pt idx="4">
                  <c:v>2891</c:v>
                </c:pt>
                <c:pt idx="5">
                  <c:v>1983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F-4696-AE54-F7E1A2B0CFC9}"/>
            </c:ext>
          </c:extLst>
        </c:ser>
        <c:ser>
          <c:idx val="1"/>
          <c:order val="1"/>
          <c:tx>
            <c:v>GASTOS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EF-4696-AE54-F7E1A2B0CFC9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EF-4696-AE54-F7E1A2B0CFC9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9EF-4696-AE54-F7E1A2B0CFC9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EF-4696-AE54-F7E1A2B0CFC9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9EF-4696-AE54-F7E1A2B0CFC9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9EF-4696-AE54-F7E1A2B0CF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'EJERCICIO 3'!$D$2:$D$7</c:f>
              <c:numCache>
                <c:formatCode>"$"#,##0.00</c:formatCode>
                <c:ptCount val="6"/>
                <c:pt idx="0">
                  <c:v>1276</c:v>
                </c:pt>
                <c:pt idx="1">
                  <c:v>921</c:v>
                </c:pt>
                <c:pt idx="2">
                  <c:v>732</c:v>
                </c:pt>
                <c:pt idx="3">
                  <c:v>725</c:v>
                </c:pt>
                <c:pt idx="4">
                  <c:v>641</c:v>
                </c:pt>
                <c:pt idx="5">
                  <c:v>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EF-4696-AE54-F7E1A2B0CFC9}"/>
            </c:ext>
          </c:extLst>
        </c:ser>
        <c:ser>
          <c:idx val="2"/>
          <c:order val="2"/>
          <c:tx>
            <c:v>COSTOS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'EJERCICIO 3'!$C$2:$C$7</c:f>
              <c:numCache>
                <c:formatCode>"$"#,##0.00</c:formatCode>
                <c:ptCount val="6"/>
                <c:pt idx="0">
                  <c:v>346</c:v>
                </c:pt>
                <c:pt idx="1">
                  <c:v>313</c:v>
                </c:pt>
                <c:pt idx="2">
                  <c:v>431</c:v>
                </c:pt>
                <c:pt idx="3">
                  <c:v>527</c:v>
                </c:pt>
                <c:pt idx="4">
                  <c:v>251</c:v>
                </c:pt>
                <c:pt idx="5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9EF-4696-AE54-F7E1A2B0CFC9}"/>
            </c:ext>
          </c:extLst>
        </c:ser>
        <c:ser>
          <c:idx val="3"/>
          <c:order val="3"/>
          <c:tx>
            <c:v>UTILIDAD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'EJERCICIO 3'!$E$2:$E$7</c:f>
              <c:numCache>
                <c:formatCode>"$"#,##0.00</c:formatCode>
                <c:ptCount val="6"/>
                <c:pt idx="0">
                  <c:v>772</c:v>
                </c:pt>
                <c:pt idx="1">
                  <c:v>1131</c:v>
                </c:pt>
                <c:pt idx="2">
                  <c:v>82</c:v>
                </c:pt>
                <c:pt idx="3">
                  <c:v>2169</c:v>
                </c:pt>
                <c:pt idx="4">
                  <c:v>1999</c:v>
                </c:pt>
                <c:pt idx="5">
                  <c:v>1085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9EF-4696-AE54-F7E1A2B0C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1795183"/>
        <c:axId val="1091796431"/>
      </c:barChart>
      <c:catAx>
        <c:axId val="1091795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091796431"/>
        <c:crosses val="autoZero"/>
        <c:auto val="1"/>
        <c:lblAlgn val="ctr"/>
        <c:lblOffset val="100"/>
        <c:noMultiLvlLbl val="0"/>
      </c:catAx>
      <c:valAx>
        <c:axId val="109179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VALORES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09179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PARTICIPACIÓN DE 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2F0-44A6-99F7-A6D8EA6FA032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F0-44A6-99F7-A6D8EA6FA032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2F0-44A6-99F7-A6D8EA6FA032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F0-44A6-99F7-A6D8EA6FA032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2F0-44A6-99F7-A6D8EA6FA032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2F0-44A6-99F7-A6D8EA6FA032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02F0-44A6-99F7-A6D8EA6FA032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2F0-44A6-99F7-A6D8EA6FA032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5B9BD5"/>
                </a:solidFill>
                <a:round/>
              </a:ln>
              <a:effectLst>
                <a:outerShdw blurRad="50800" dist="38100" dir="2700000" algn="tl" rotWithShape="0">
                  <a:srgbClr val="5B9BD5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'EJERCICIO 4'!$A$2:$A$5</c:f>
              <c:strCache>
                <c:ptCount val="4"/>
                <c:pt idx="0">
                  <c:v>TV</c:v>
                </c:pt>
                <c:pt idx="1">
                  <c:v>RADIO</c:v>
                </c:pt>
                <c:pt idx="2">
                  <c:v>ORDENADOR</c:v>
                </c:pt>
                <c:pt idx="3">
                  <c:v>PROYECTOR</c:v>
                </c:pt>
              </c:strCache>
            </c:strRef>
          </c:cat>
          <c:val>
            <c:numRef>
              <c:f>'EJERCICIO 4'!$C$2:$C$5</c:f>
              <c:numCache>
                <c:formatCode>0%</c:formatCode>
                <c:ptCount val="4"/>
                <c:pt idx="0">
                  <c:v>0.24979983987189752</c:v>
                </c:pt>
                <c:pt idx="1">
                  <c:v>0.37550040032025622</c:v>
                </c:pt>
                <c:pt idx="2">
                  <c:v>0.23218574859887911</c:v>
                </c:pt>
                <c:pt idx="3">
                  <c:v>0.14251401120896717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0-44A6-99F7-A6D8EA6FA032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TEST</a:t>
            </a:r>
            <a:r>
              <a:rPr lang="es-CR" baseline="0"/>
              <a:t> JUAN</a:t>
            </a: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'EJERCICIO 4'!$A$11:$A$14</c:f>
              <c:strCache>
                <c:ptCount val="4"/>
                <c:pt idx="0">
                  <c:v>INTROVERTIDO</c:v>
                </c:pt>
                <c:pt idx="1">
                  <c:v>ESTROVERTIDO</c:v>
                </c:pt>
                <c:pt idx="2">
                  <c:v>AGRESIVO</c:v>
                </c:pt>
                <c:pt idx="3">
                  <c:v>PASIVO</c:v>
                </c:pt>
              </c:strCache>
            </c:strRef>
          </c:cat>
          <c:val>
            <c:numRef>
              <c:f>'EJERCICIO 4'!$B$11:$B$14</c:f>
              <c:numCache>
                <c:formatCode>0%</c:formatCode>
                <c:ptCount val="4"/>
                <c:pt idx="0">
                  <c:v>0.16</c:v>
                </c:pt>
                <c:pt idx="1">
                  <c:v>0.84</c:v>
                </c:pt>
                <c:pt idx="2">
                  <c:v>0.56000000000000005</c:v>
                </c:pt>
                <c:pt idx="3">
                  <c:v>0.43999999999999995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E-41B9-9FCC-EE0380A3B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77743"/>
        <c:axId val="130969759"/>
      </c:radarChart>
      <c:catAx>
        <c:axId val="13727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30969759"/>
        <c:crosses val="autoZero"/>
        <c:auto val="1"/>
        <c:lblAlgn val="ctr"/>
        <c:lblOffset val="100"/>
        <c:noMultiLvlLbl val="0"/>
      </c:catAx>
      <c:valAx>
        <c:axId val="13096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3727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VENTAS</a:t>
            </a:r>
            <a:r>
              <a:rPr lang="es-CR" baseline="0"/>
              <a:t> (NIVEL Y TENDENCIA)</a:t>
            </a: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5'!$B$1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'EJERCICIO 5'!$A$2:$A$7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'EJERCICIO 5'!$B$2:$B$7</c:f>
              <c:numCache>
                <c:formatCode>"$"#,##0.00</c:formatCode>
                <c:ptCount val="6"/>
                <c:pt idx="0">
                  <c:v>2394</c:v>
                </c:pt>
                <c:pt idx="1">
                  <c:v>2365</c:v>
                </c:pt>
                <c:pt idx="2">
                  <c:v>1245</c:v>
                </c:pt>
                <c:pt idx="3">
                  <c:v>3421</c:v>
                </c:pt>
                <c:pt idx="4">
                  <c:v>2891</c:v>
                </c:pt>
                <c:pt idx="5">
                  <c:v>1983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B-49C4-A904-3390CA422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1559439"/>
        <c:axId val="251561519"/>
      </c:barChart>
      <c:scatterChart>
        <c:scatterStyle val="lineMarker"/>
        <c:varyColors val="0"/>
        <c:ser>
          <c:idx val="1"/>
          <c:order val="1"/>
          <c:tx>
            <c:strRef>
              <c:f>'EJERCICIO 5'!$C$1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'EJERCICIO 5'!$A$2:$A$7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xVal>
          <c:yVal>
            <c:numRef>
              <c:f>'EJERCICIO 5'!$C$2:$C$7</c:f>
              <c:numCache>
                <c:formatCode>0.00%</c:formatCode>
                <c:ptCount val="6"/>
                <c:pt idx="0">
                  <c:v>0.16742429540527309</c:v>
                </c:pt>
                <c:pt idx="1">
                  <c:v>0.16539618155115743</c:v>
                </c:pt>
                <c:pt idx="2">
                  <c:v>8.7069025806000414E-2</c:v>
                </c:pt>
                <c:pt idx="3">
                  <c:v>0.23924749982516261</c:v>
                </c:pt>
                <c:pt idx="4">
                  <c:v>0.20218197076718653</c:v>
                </c:pt>
                <c:pt idx="5">
                  <c:v>0.13868102664521995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7B-49C4-A904-3390CA422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33535"/>
        <c:axId val="35627711"/>
      </c:scatterChart>
      <c:catAx>
        <c:axId val="25155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51561519"/>
        <c:crosses val="autoZero"/>
        <c:auto val="1"/>
        <c:lblAlgn val="ctr"/>
        <c:lblOffset val="100"/>
        <c:noMultiLvlLbl val="0"/>
      </c:catAx>
      <c:valAx>
        <c:axId val="25156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51559439"/>
        <c:crosses val="autoZero"/>
        <c:crossBetween val="between"/>
      </c:valAx>
      <c:valAx>
        <c:axId val="3562771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35633535"/>
        <c:crosses val="max"/>
        <c:crossBetween val="midCat"/>
      </c:valAx>
      <c:valAx>
        <c:axId val="356335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627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PREVISION!$B$1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PREVISION!$B$2:$B$13</c:f>
              <c:numCache>
                <c:formatCode>"$"#,##0.00</c:formatCode>
                <c:ptCount val="12"/>
                <c:pt idx="0">
                  <c:v>2394</c:v>
                </c:pt>
                <c:pt idx="1">
                  <c:v>2365</c:v>
                </c:pt>
                <c:pt idx="2">
                  <c:v>1245</c:v>
                </c:pt>
                <c:pt idx="3">
                  <c:v>3421</c:v>
                </c:pt>
                <c:pt idx="4">
                  <c:v>2891</c:v>
                </c:pt>
                <c:pt idx="5">
                  <c:v>1983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AE-458E-B2C5-41060B3DC12C}"/>
            </c:ext>
          </c:extLst>
        </c:ser>
        <c:ser>
          <c:idx val="1"/>
          <c:order val="1"/>
          <c:tx>
            <c:strRef>
              <c:f>PREVISION!$C$1</c:f>
              <c:strCache>
                <c:ptCount val="1"/>
                <c:pt idx="0">
                  <c:v>Previsión(INGRESOS)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PREVISION!$A$2:$A$13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PREVISION!$C$2:$C$13</c:f>
              <c:numCache>
                <c:formatCode>General</c:formatCode>
                <c:ptCount val="12"/>
                <c:pt idx="5" formatCode="&quot;$&quot;#,##0.00">
                  <c:v>1983</c:v>
                </c:pt>
                <c:pt idx="6" formatCode="&quot;$&quot;#,##0.00">
                  <c:v>2764.9969401945859</c:v>
                </c:pt>
                <c:pt idx="7" formatCode="&quot;$&quot;#,##0.00">
                  <c:v>2826.7077620623436</c:v>
                </c:pt>
                <c:pt idx="8" formatCode="&quot;$&quot;#,##0.00">
                  <c:v>2888.4185839301012</c:v>
                </c:pt>
                <c:pt idx="9" formatCode="&quot;$&quot;#,##0.00">
                  <c:v>2950.1294057978589</c:v>
                </c:pt>
                <c:pt idx="10" formatCode="&quot;$&quot;#,##0.00">
                  <c:v>3011.8402276656166</c:v>
                </c:pt>
                <c:pt idx="11" formatCode="&quot;$&quot;#,##0.00">
                  <c:v>3073.5510495333742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AE-458E-B2C5-41060B3DC12C}"/>
            </c:ext>
          </c:extLst>
        </c:ser>
        <c:ser>
          <c:idx val="2"/>
          <c:order val="2"/>
          <c:tx>
            <c:strRef>
              <c:f>PREVISION!$D$1</c:f>
              <c:strCache>
                <c:ptCount val="1"/>
                <c:pt idx="0">
                  <c:v>Límite de confianza inferior(INGRESOS)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PREVISION!$A$2:$A$13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PREVISION!$D$2:$D$13</c:f>
              <c:numCache>
                <c:formatCode>General</c:formatCode>
                <c:ptCount val="12"/>
                <c:pt idx="5" formatCode="&quot;$&quot;#,##0.00">
                  <c:v>1983</c:v>
                </c:pt>
                <c:pt idx="6" formatCode="&quot;$&quot;#,##0.00">
                  <c:v>1396.3864875814616</c:v>
                </c:pt>
                <c:pt idx="7" formatCode="&quot;$&quot;#,##0.00">
                  <c:v>1458.0911507160397</c:v>
                </c:pt>
                <c:pt idx="8" formatCode="&quot;$&quot;#,##0.00">
                  <c:v>1519.7910237932408</c:v>
                </c:pt>
                <c:pt idx="9" formatCode="&quot;$&quot;#,##0.00">
                  <c:v>1581.4847383510994</c:v>
                </c:pt>
                <c:pt idx="10" formatCode="&quot;$&quot;#,##0.00">
                  <c:v>1643.1709260682558</c:v>
                </c:pt>
                <c:pt idx="11" formatCode="&quot;$&quot;#,##0.00">
                  <c:v>1704.848218832354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AE-458E-B2C5-41060B3DC12C}"/>
            </c:ext>
          </c:extLst>
        </c:ser>
        <c:ser>
          <c:idx val="3"/>
          <c:order val="3"/>
          <c:tx>
            <c:strRef>
              <c:f>PREVISION!$E$1</c:f>
              <c:strCache>
                <c:ptCount val="1"/>
                <c:pt idx="0">
                  <c:v>Límite de confianza superior(INGRESOS)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PREVISION!$A$2:$A$13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PREVISION!$E$2:$E$13</c:f>
              <c:numCache>
                <c:formatCode>General</c:formatCode>
                <c:ptCount val="12"/>
                <c:pt idx="5" formatCode="&quot;$&quot;#,##0.00">
                  <c:v>1983</c:v>
                </c:pt>
                <c:pt idx="6" formatCode="&quot;$&quot;#,##0.00">
                  <c:v>4133.6073928077103</c:v>
                </c:pt>
                <c:pt idx="7" formatCode="&quot;$&quot;#,##0.00">
                  <c:v>4195.3243734086473</c:v>
                </c:pt>
                <c:pt idx="8" formatCode="&quot;$&quot;#,##0.00">
                  <c:v>4257.0461440669615</c:v>
                </c:pt>
                <c:pt idx="9" formatCode="&quot;$&quot;#,##0.00">
                  <c:v>4318.7740732446182</c:v>
                </c:pt>
                <c:pt idx="10" formatCode="&quot;$&quot;#,##0.00">
                  <c:v>4380.5095292629776</c:v>
                </c:pt>
                <c:pt idx="11" formatCode="&quot;$&quot;#,##0.00">
                  <c:v>4442.2538802343943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AE-458E-B2C5-41060B3DC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883791"/>
        <c:axId val="302887951"/>
      </c:lineChart>
      <c:catAx>
        <c:axId val="30288379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302887951"/>
        <c:crosses val="autoZero"/>
        <c:auto val="1"/>
        <c:lblAlgn val="ctr"/>
        <c:lblOffset val="100"/>
        <c:noMultiLvlLbl val="0"/>
      </c:catAx>
      <c:valAx>
        <c:axId val="30288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30288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[Excel-Intermedio.xlsx]TABLA DINÁMICA 2!TablaDinámica3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DINÁMICA 2'!$B$4:$B$5</c:f>
              <c:strCache>
                <c:ptCount val="1"/>
                <c:pt idx="0">
                  <c:v>ENERO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DINÁMICA 2'!$A$6:$A$9</c:f>
              <c:strCache>
                <c:ptCount val="3"/>
                <c:pt idx="0">
                  <c:v>BARCELONA</c:v>
                </c:pt>
                <c:pt idx="1">
                  <c:v>MADRID</c:v>
                </c:pt>
                <c:pt idx="2">
                  <c:v>SEVILLA</c:v>
                </c:pt>
              </c:strCache>
            </c:strRef>
          </c:cat>
          <c:val>
            <c:numRef>
              <c:f>'TABLA DINÁMICA 2'!$B$6:$B$9</c:f>
              <c:numCache>
                <c:formatCode>General</c:formatCode>
                <c:ptCount val="3"/>
                <c:pt idx="0">
                  <c:v>250</c:v>
                </c:pt>
                <c:pt idx="1">
                  <c:v>140</c:v>
                </c:pt>
                <c:pt idx="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2-4738-BA7D-03F22456B4FE}"/>
            </c:ext>
          </c:extLst>
        </c:ser>
        <c:ser>
          <c:idx val="1"/>
          <c:order val="1"/>
          <c:tx>
            <c:strRef>
              <c:f>'TABLA DINÁMICA 2'!$C$4:$C$5</c:f>
              <c:strCache>
                <c:ptCount val="1"/>
                <c:pt idx="0">
                  <c:v>FEBRERO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DINÁMICA 2'!$A$6:$A$9</c:f>
              <c:strCache>
                <c:ptCount val="3"/>
                <c:pt idx="0">
                  <c:v>BARCELONA</c:v>
                </c:pt>
                <c:pt idx="1">
                  <c:v>MADRID</c:v>
                </c:pt>
                <c:pt idx="2">
                  <c:v>SEVILLA</c:v>
                </c:pt>
              </c:strCache>
            </c:strRef>
          </c:cat>
          <c:val>
            <c:numRef>
              <c:f>'TABLA DINÁMICA 2'!$C$6:$C$9</c:f>
              <c:numCache>
                <c:formatCode>General</c:formatCode>
                <c:ptCount val="3"/>
                <c:pt idx="0">
                  <c:v>340</c:v>
                </c:pt>
                <c:pt idx="1">
                  <c:v>460</c:v>
                </c:pt>
                <c:pt idx="2">
                  <c:v>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32-4738-BA7D-03F22456B4FE}"/>
            </c:ext>
          </c:extLst>
        </c:ser>
        <c:ser>
          <c:idx val="2"/>
          <c:order val="2"/>
          <c:tx>
            <c:strRef>
              <c:f>'TABLA DINÁMICA 2'!$D$4:$D$5</c:f>
              <c:strCache>
                <c:ptCount val="1"/>
                <c:pt idx="0">
                  <c:v>MARZO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DINÁMICA 2'!$A$6:$A$9</c:f>
              <c:strCache>
                <c:ptCount val="3"/>
                <c:pt idx="0">
                  <c:v>BARCELONA</c:v>
                </c:pt>
                <c:pt idx="1">
                  <c:v>MADRID</c:v>
                </c:pt>
                <c:pt idx="2">
                  <c:v>SEVILLA</c:v>
                </c:pt>
              </c:strCache>
            </c:strRef>
          </c:cat>
          <c:val>
            <c:numRef>
              <c:f>'TABLA DINÁMICA 2'!$D$6:$D$9</c:f>
              <c:numCache>
                <c:formatCode>General</c:formatCode>
                <c:ptCount val="3"/>
                <c:pt idx="0">
                  <c:v>560</c:v>
                </c:pt>
                <c:pt idx="1">
                  <c:v>130</c:v>
                </c:pt>
                <c:pt idx="2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32-4738-BA7D-03F22456B4FE}"/>
            </c:ext>
          </c:extLst>
        </c:ser>
        <c:ser>
          <c:idx val="3"/>
          <c:order val="3"/>
          <c:tx>
            <c:strRef>
              <c:f>'TABLA DINÁMICA 2'!$E$4:$E$5</c:f>
              <c:strCache>
                <c:ptCount val="1"/>
                <c:pt idx="0">
                  <c:v>ABRIL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DINÁMICA 2'!$A$6:$A$9</c:f>
              <c:strCache>
                <c:ptCount val="3"/>
                <c:pt idx="0">
                  <c:v>BARCELONA</c:v>
                </c:pt>
                <c:pt idx="1">
                  <c:v>MADRID</c:v>
                </c:pt>
                <c:pt idx="2">
                  <c:v>SEVILLA</c:v>
                </c:pt>
              </c:strCache>
            </c:strRef>
          </c:cat>
          <c:val>
            <c:numRef>
              <c:f>'TABLA DINÁMICA 2'!$E$6:$E$9</c:f>
              <c:numCache>
                <c:formatCode>General</c:formatCode>
                <c:ptCount val="3"/>
                <c:pt idx="0">
                  <c:v>450</c:v>
                </c:pt>
                <c:pt idx="1">
                  <c:v>980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32-4738-BA7D-03F22456B4FE}"/>
            </c:ext>
          </c:extLst>
        </c:ser>
        <c:ser>
          <c:idx val="4"/>
          <c:order val="4"/>
          <c:tx>
            <c:strRef>
              <c:f>'TABLA DINÁMICA 2'!$F$4:$F$5</c:f>
              <c:strCache>
                <c:ptCount val="1"/>
                <c:pt idx="0">
                  <c:v>MAYO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DINÁMICA 2'!$A$6:$A$9</c:f>
              <c:strCache>
                <c:ptCount val="3"/>
                <c:pt idx="0">
                  <c:v>BARCELONA</c:v>
                </c:pt>
                <c:pt idx="1">
                  <c:v>MADRID</c:v>
                </c:pt>
                <c:pt idx="2">
                  <c:v>SEVILLA</c:v>
                </c:pt>
              </c:strCache>
            </c:strRef>
          </c:cat>
          <c:val>
            <c:numRef>
              <c:f>'TABLA DINÁMICA 2'!$F$6:$F$9</c:f>
              <c:numCache>
                <c:formatCode>General</c:formatCode>
                <c:ptCount val="3"/>
                <c:pt idx="1">
                  <c:v>340</c:v>
                </c:pt>
                <c:pt idx="2">
                  <c:v>2650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32-4738-BA7D-03F22456B4FE}"/>
            </c:ext>
          </c:extLst>
        </c:ser>
        <c:ser>
          <c:idx val="5"/>
          <c:order val="5"/>
          <c:tx>
            <c:strRef>
              <c:f>'TABLA DINÁMICA 2'!$G$4:$G$5</c:f>
              <c:strCache>
                <c:ptCount val="1"/>
                <c:pt idx="0">
                  <c:v>JUNIO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DINÁMICA 2'!$A$6:$A$9</c:f>
              <c:strCache>
                <c:ptCount val="3"/>
                <c:pt idx="0">
                  <c:v>BARCELONA</c:v>
                </c:pt>
                <c:pt idx="1">
                  <c:v>MADRID</c:v>
                </c:pt>
                <c:pt idx="2">
                  <c:v>SEVILLA</c:v>
                </c:pt>
              </c:strCache>
            </c:strRef>
          </c:cat>
          <c:val>
            <c:numRef>
              <c:f>'TABLA DINÁMICA 2'!$G$6:$G$9</c:f>
              <c:numCache>
                <c:formatCode>General</c:formatCode>
                <c:ptCount val="3"/>
                <c:pt idx="0">
                  <c:v>150</c:v>
                </c:pt>
                <c:pt idx="1">
                  <c:v>160</c:v>
                </c:pt>
                <c:pt idx="2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32-4738-BA7D-03F22456B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497039"/>
        <c:axId val="366484559"/>
      </c:barChart>
      <c:catAx>
        <c:axId val="36649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366484559"/>
        <c:crosses val="autoZero"/>
        <c:auto val="1"/>
        <c:lblAlgn val="ctr"/>
        <c:lblOffset val="100"/>
        <c:noMultiLvlLbl val="0"/>
      </c:catAx>
      <c:valAx>
        <c:axId val="36648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36649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66AA09-7759-4DA0-8F72-97A201653E95}">
  <sheetPr/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4B386D6-3298-42C2-9E98-7E2AEC882ACB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70DE5DE-1292-48B6-931B-06D90162F3CD}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0</xdr:colOff>
      <xdr:row>21</xdr:row>
      <xdr:rowOff>9239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63A1D1-D36F-4682-8A76-338892E7E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1000"/>
          <a:ext cx="7772400" cy="36287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3679" cy="606878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6A7D30-B90D-4EF0-9D8B-9D74A077E8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3592</xdr:colOff>
      <xdr:row>0</xdr:row>
      <xdr:rowOff>83312</xdr:rowOff>
    </xdr:from>
    <xdr:to>
      <xdr:col>18</xdr:col>
      <xdr:colOff>15751</xdr:colOff>
      <xdr:row>14</xdr:row>
      <xdr:rowOff>131139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F1A699-31B0-4A64-96C8-652D93567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635713</xdr:colOff>
      <xdr:row>0</xdr:row>
      <xdr:rowOff>83906</xdr:rowOff>
    </xdr:from>
    <xdr:to>
      <xdr:col>11</xdr:col>
      <xdr:colOff>648556</xdr:colOff>
      <xdr:row>14</xdr:row>
      <xdr:rowOff>130140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49BE929-9178-4352-A21E-91E6B2911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7218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3068F7-BD45-406D-AD79-64A2C39D0BF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1335487</xdr:colOff>
      <xdr:row>13</xdr:row>
      <xdr:rowOff>84222</xdr:rowOff>
    </xdr:from>
    <xdr:to>
      <xdr:col>9</xdr:col>
      <xdr:colOff>599073</xdr:colOff>
      <xdr:row>25</xdr:row>
      <xdr:rowOff>136608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BDC306-DE09-4C54-9D1B-76F1C7A9A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7218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248469-4203-49EC-81F9-7E22F22848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0" refreshedDate="45993.846384490738" createdVersion="6" refreshedVersion="6" minRefreshableVersion="3" recordCount="18" xr:uid="{6A5BE987-7EBF-4404-A49B-DC3F66DCF167}">
  <cacheSource type="worksheet">
    <worksheetSource ref="A1:D19" sheet="EJERCICIO 8"/>
  </cacheSource>
  <cacheFields count="4">
    <cacheField name="MES" numFmtId="0">
      <sharedItems count="6">
        <s v="ENERO"/>
        <s v="FEBRERO"/>
        <s v="MARZO"/>
        <s v="ABRIL"/>
        <s v="JUNIO"/>
        <s v="MAYO"/>
      </sharedItems>
    </cacheField>
    <cacheField name="VENDEDOR" numFmtId="0">
      <sharedItems count="3">
        <s v="MIGUEL"/>
        <s v="JUAN"/>
        <s v="JOSÉ"/>
      </sharedItems>
    </cacheField>
    <cacheField name="CIUDAD" numFmtId="0">
      <sharedItems count="3">
        <s v="BARCELONA"/>
        <s v="MADRID"/>
        <s v="SEVILLA"/>
      </sharedItems>
    </cacheField>
    <cacheField name="VENTA" numFmtId="164">
      <sharedItems containsSemiMixedTypes="0" containsString="0" containsNumber="1" containsInteger="1" minValue="130" maxValue="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x v="0"/>
    <n v="250"/>
  </r>
  <r>
    <x v="1"/>
    <x v="1"/>
    <x v="0"/>
    <n v="340"/>
  </r>
  <r>
    <x v="2"/>
    <x v="0"/>
    <x v="0"/>
    <n v="560"/>
  </r>
  <r>
    <x v="3"/>
    <x v="2"/>
    <x v="0"/>
    <n v="450"/>
  </r>
  <r>
    <x v="4"/>
    <x v="1"/>
    <x v="0"/>
    <n v="150"/>
  </r>
  <r>
    <x v="0"/>
    <x v="2"/>
    <x v="1"/>
    <n v="140"/>
  </r>
  <r>
    <x v="1"/>
    <x v="2"/>
    <x v="1"/>
    <n v="460"/>
  </r>
  <r>
    <x v="2"/>
    <x v="1"/>
    <x v="1"/>
    <n v="130"/>
  </r>
  <r>
    <x v="3"/>
    <x v="1"/>
    <x v="1"/>
    <n v="980"/>
  </r>
  <r>
    <x v="5"/>
    <x v="1"/>
    <x v="1"/>
    <n v="340"/>
  </r>
  <r>
    <x v="4"/>
    <x v="1"/>
    <x v="1"/>
    <n v="160"/>
  </r>
  <r>
    <x v="0"/>
    <x v="1"/>
    <x v="2"/>
    <n v="1200"/>
  </r>
  <r>
    <x v="1"/>
    <x v="1"/>
    <x v="2"/>
    <n v="1204"/>
  </r>
  <r>
    <x v="2"/>
    <x v="2"/>
    <x v="2"/>
    <n v="670"/>
  </r>
  <r>
    <x v="3"/>
    <x v="1"/>
    <x v="2"/>
    <n v="1000"/>
  </r>
  <r>
    <x v="5"/>
    <x v="2"/>
    <x v="2"/>
    <n v="2500"/>
  </r>
  <r>
    <x v="5"/>
    <x v="0"/>
    <x v="2"/>
    <n v="150"/>
  </r>
  <r>
    <x v="4"/>
    <x v="0"/>
    <x v="2"/>
    <n v="1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5359BD-B102-4C45-A958-344750BB830A}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H9" firstHeaderRow="1" firstDataRow="2" firstDataCol="1" rowPageCount="1" colPageCount="1"/>
  <pivotFields count="4">
    <pivotField axis="axisCol" showAll="0">
      <items count="7">
        <item x="0"/>
        <item x="1"/>
        <item x="2"/>
        <item x="3"/>
        <item x="5"/>
        <item x="4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-1"/>
  </pageFields>
  <dataFields count="1">
    <dataField name="Suma de VENTA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F17B3A-F9B0-48D7-A0EC-EB1C46DEDC2C}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4:H9" firstHeaderRow="1" firstDataRow="2" firstDataCol="1" rowPageCount="1" colPageCount="1"/>
  <pivotFields count="4">
    <pivotField axis="axisCol" showAll="0">
      <items count="7">
        <item x="0"/>
        <item x="1"/>
        <item x="2"/>
        <item x="3"/>
        <item x="5"/>
        <item x="4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-1"/>
  </pageFields>
  <dataFields count="1">
    <dataField name="Suma de VENTA" fld="3" baseField="0" baseItem="0"/>
  </dataFields>
  <chartFormats count="9"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911D45-969A-465E-9FF9-BA5FCC88BCE7}" name="Tabla1" displayName="Tabla1" ref="A1:E13" totalsRowShown="0">
  <autoFilter ref="A1:E13" xr:uid="{D79CCD62-3C43-453E-B6DD-70511E90D4F2}"/>
  <tableColumns count="5">
    <tableColumn id="1" xr3:uid="{E72D2F40-31C1-4EAA-A910-284477D9827F}" name="NÚMERO"/>
    <tableColumn id="2" xr3:uid="{204BB8CF-DDF5-41B6-9E94-436E8C7960F8}" name="INGRESOS"/>
    <tableColumn id="3" xr3:uid="{233A93B7-3917-475C-8573-D5FFCF243FF4}" name="Previsión(INGRESOS)" dataDxfId="2">
      <calculatedColumnFormula>_xlfn.FORECAST.ETS(A2,$B$2:$B$7,$A$2:$A$7,1,1)</calculatedColumnFormula>
    </tableColumn>
    <tableColumn id="4" xr3:uid="{8A85DABC-19F9-4C3C-BCD3-2A39A252BA55}" name="Límite de confianza inferior(INGRESOS)" dataDxfId="1">
      <calculatedColumnFormula>C2-_xlfn.FORECAST.ETS.CONFINT(A2,$B$2:$B$7,$A$2:$A$7,0.95,1,1)</calculatedColumnFormula>
    </tableColumn>
    <tableColumn id="5" xr3:uid="{6FB76C89-D64C-46FC-8837-990BD8E0464D}" name="Límite de confianza superior(INGRESOS)" dataDxfId="0">
      <calculatedColumnFormula>C2+_xlfn.FORECAST.ETS.CONFINT(A2,$B$2:$B$7,$A$2:$A$7,0.95,1,1)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"/>
  <sheetViews>
    <sheetView workbookViewId="0">
      <selection activeCell="Q12" sqref="Q12"/>
    </sheetView>
  </sheetViews>
  <sheetFormatPr baseColWidth="10" defaultColWidth="9.140625" defaultRowHeight="15" x14ac:dyDescent="0.25"/>
  <cols>
    <col min="2" max="2" width="11.85546875" customWidth="1"/>
    <col min="3" max="3" width="11.7109375" bestFit="1" customWidth="1"/>
    <col min="4" max="4" width="10.7109375" style="1" customWidth="1"/>
  </cols>
  <sheetData/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E5DD-0600-422C-AE60-A4D044BC927D}">
  <dimension ref="A1:I19"/>
  <sheetViews>
    <sheetView workbookViewId="0">
      <selection sqref="A1:D19"/>
    </sheetView>
  </sheetViews>
  <sheetFormatPr baseColWidth="10" defaultRowHeight="15" x14ac:dyDescent="0.25"/>
  <sheetData>
    <row r="1" spans="1:9" x14ac:dyDescent="0.25">
      <c r="A1" s="2" t="s">
        <v>0</v>
      </c>
      <c r="B1" s="2" t="s">
        <v>1</v>
      </c>
      <c r="C1" s="2" t="s">
        <v>2</v>
      </c>
      <c r="D1" s="3" t="s">
        <v>3</v>
      </c>
      <c r="F1" s="2" t="s">
        <v>0</v>
      </c>
      <c r="G1" s="2" t="s">
        <v>1</v>
      </c>
      <c r="H1" s="2" t="s">
        <v>2</v>
      </c>
      <c r="I1" s="3" t="s">
        <v>3</v>
      </c>
    </row>
    <row r="2" spans="1:9" x14ac:dyDescent="0.25">
      <c r="A2" s="4" t="s">
        <v>4</v>
      </c>
      <c r="B2" s="4" t="s">
        <v>11</v>
      </c>
      <c r="C2" s="4" t="s">
        <v>14</v>
      </c>
      <c r="D2" s="5">
        <v>250</v>
      </c>
      <c r="G2" t="s">
        <v>12</v>
      </c>
    </row>
    <row r="3" spans="1:9" x14ac:dyDescent="0.25">
      <c r="A3" s="4" t="s">
        <v>5</v>
      </c>
      <c r="B3" s="4" t="s">
        <v>12</v>
      </c>
      <c r="C3" s="4" t="s">
        <v>14</v>
      </c>
      <c r="D3" s="5">
        <v>340</v>
      </c>
    </row>
    <row r="4" spans="1:9" x14ac:dyDescent="0.25">
      <c r="A4" s="4" t="s">
        <v>6</v>
      </c>
      <c r="B4" s="4" t="s">
        <v>11</v>
      </c>
      <c r="C4" s="4" t="s">
        <v>14</v>
      </c>
      <c r="D4" s="5">
        <v>560</v>
      </c>
      <c r="F4" s="2" t="s">
        <v>0</v>
      </c>
      <c r="G4" s="2" t="s">
        <v>1</v>
      </c>
      <c r="H4" s="2" t="s">
        <v>2</v>
      </c>
      <c r="I4" s="3" t="s">
        <v>3</v>
      </c>
    </row>
    <row r="5" spans="1:9" x14ac:dyDescent="0.25">
      <c r="A5" s="4" t="s">
        <v>7</v>
      </c>
      <c r="B5" s="4" t="s">
        <v>10</v>
      </c>
      <c r="C5" s="4" t="s">
        <v>14</v>
      </c>
      <c r="D5" s="5">
        <v>450</v>
      </c>
      <c r="F5" s="4" t="s">
        <v>5</v>
      </c>
      <c r="G5" s="4" t="s">
        <v>12</v>
      </c>
      <c r="H5" s="4" t="s">
        <v>14</v>
      </c>
      <c r="I5" s="5">
        <v>340</v>
      </c>
    </row>
    <row r="6" spans="1:9" x14ac:dyDescent="0.25">
      <c r="A6" s="4" t="s">
        <v>9</v>
      </c>
      <c r="B6" s="4" t="s">
        <v>12</v>
      </c>
      <c r="C6" s="4" t="s">
        <v>14</v>
      </c>
      <c r="D6" s="5">
        <v>150</v>
      </c>
      <c r="F6" s="4" t="s">
        <v>9</v>
      </c>
      <c r="G6" s="4" t="s">
        <v>12</v>
      </c>
      <c r="H6" s="4" t="s">
        <v>14</v>
      </c>
      <c r="I6" s="5">
        <v>150</v>
      </c>
    </row>
    <row r="7" spans="1:9" x14ac:dyDescent="0.25">
      <c r="A7" s="4" t="s">
        <v>4</v>
      </c>
      <c r="B7" s="4" t="s">
        <v>10</v>
      </c>
      <c r="C7" s="4" t="s">
        <v>13</v>
      </c>
      <c r="D7" s="5">
        <v>140</v>
      </c>
      <c r="F7" s="4" t="s">
        <v>6</v>
      </c>
      <c r="G7" s="4" t="s">
        <v>12</v>
      </c>
      <c r="H7" s="4" t="s">
        <v>13</v>
      </c>
      <c r="I7" s="5">
        <v>130</v>
      </c>
    </row>
    <row r="8" spans="1:9" x14ac:dyDescent="0.25">
      <c r="A8" s="4" t="s">
        <v>5</v>
      </c>
      <c r="B8" s="4" t="s">
        <v>10</v>
      </c>
      <c r="C8" s="4" t="s">
        <v>13</v>
      </c>
      <c r="D8" s="5">
        <v>460</v>
      </c>
      <c r="F8" s="4" t="s">
        <v>7</v>
      </c>
      <c r="G8" s="4" t="s">
        <v>12</v>
      </c>
      <c r="H8" s="4" t="s">
        <v>13</v>
      </c>
      <c r="I8" s="5">
        <v>980</v>
      </c>
    </row>
    <row r="9" spans="1:9" x14ac:dyDescent="0.25">
      <c r="A9" s="4" t="s">
        <v>6</v>
      </c>
      <c r="B9" s="4" t="s">
        <v>12</v>
      </c>
      <c r="C9" s="4" t="s">
        <v>13</v>
      </c>
      <c r="D9" s="5">
        <v>130</v>
      </c>
      <c r="F9" s="4" t="s">
        <v>8</v>
      </c>
      <c r="G9" s="4" t="s">
        <v>12</v>
      </c>
      <c r="H9" s="4" t="s">
        <v>13</v>
      </c>
      <c r="I9" s="5">
        <v>340</v>
      </c>
    </row>
    <row r="10" spans="1:9" x14ac:dyDescent="0.25">
      <c r="A10" s="4" t="s">
        <v>7</v>
      </c>
      <c r="B10" s="4" t="s">
        <v>12</v>
      </c>
      <c r="C10" s="4" t="s">
        <v>13</v>
      </c>
      <c r="D10" s="5">
        <v>980</v>
      </c>
      <c r="F10" s="4" t="s">
        <v>9</v>
      </c>
      <c r="G10" s="4" t="s">
        <v>12</v>
      </c>
      <c r="H10" s="4" t="s">
        <v>13</v>
      </c>
      <c r="I10" s="5">
        <v>160</v>
      </c>
    </row>
    <row r="11" spans="1:9" x14ac:dyDescent="0.25">
      <c r="A11" s="4" t="s">
        <v>8</v>
      </c>
      <c r="B11" s="4" t="s">
        <v>12</v>
      </c>
      <c r="C11" s="4" t="s">
        <v>13</v>
      </c>
      <c r="D11" s="5">
        <v>340</v>
      </c>
      <c r="F11" s="4" t="s">
        <v>4</v>
      </c>
      <c r="G11" s="4" t="s">
        <v>12</v>
      </c>
      <c r="H11" s="4" t="s">
        <v>15</v>
      </c>
      <c r="I11" s="5">
        <v>1200</v>
      </c>
    </row>
    <row r="12" spans="1:9" x14ac:dyDescent="0.25">
      <c r="A12" s="4" t="s">
        <v>9</v>
      </c>
      <c r="B12" s="4" t="s">
        <v>12</v>
      </c>
      <c r="C12" s="4" t="s">
        <v>13</v>
      </c>
      <c r="D12" s="5">
        <v>160</v>
      </c>
      <c r="F12" s="4" t="s">
        <v>5</v>
      </c>
      <c r="G12" s="4" t="s">
        <v>12</v>
      </c>
      <c r="H12" s="4" t="s">
        <v>15</v>
      </c>
      <c r="I12" s="5">
        <v>1204</v>
      </c>
    </row>
    <row r="13" spans="1:9" x14ac:dyDescent="0.25">
      <c r="A13" s="4" t="s">
        <v>4</v>
      </c>
      <c r="B13" s="4" t="s">
        <v>12</v>
      </c>
      <c r="C13" s="4" t="s">
        <v>15</v>
      </c>
      <c r="D13" s="5">
        <v>1200</v>
      </c>
      <c r="F13" s="4" t="s">
        <v>7</v>
      </c>
      <c r="G13" s="4" t="s">
        <v>12</v>
      </c>
      <c r="H13" s="4" t="s">
        <v>15</v>
      </c>
      <c r="I13" s="5">
        <v>1000</v>
      </c>
    </row>
    <row r="14" spans="1:9" x14ac:dyDescent="0.25">
      <c r="A14" s="4" t="s">
        <v>5</v>
      </c>
      <c r="B14" s="4" t="s">
        <v>12</v>
      </c>
      <c r="C14" s="4" t="s">
        <v>15</v>
      </c>
      <c r="D14" s="5">
        <v>1204</v>
      </c>
    </row>
    <row r="15" spans="1:9" x14ac:dyDescent="0.25">
      <c r="A15" s="4" t="s">
        <v>6</v>
      </c>
      <c r="B15" s="4" t="s">
        <v>10</v>
      </c>
      <c r="C15" s="4" t="s">
        <v>15</v>
      </c>
      <c r="D15" s="5">
        <v>670</v>
      </c>
    </row>
    <row r="16" spans="1:9" x14ac:dyDescent="0.25">
      <c r="A16" s="4" t="s">
        <v>7</v>
      </c>
      <c r="B16" s="4" t="s">
        <v>12</v>
      </c>
      <c r="C16" s="4" t="s">
        <v>15</v>
      </c>
      <c r="D16" s="5">
        <v>1000</v>
      </c>
    </row>
    <row r="17" spans="1:4" x14ac:dyDescent="0.25">
      <c r="A17" s="4" t="s">
        <v>8</v>
      </c>
      <c r="B17" s="4" t="s">
        <v>10</v>
      </c>
      <c r="C17" s="4" t="s">
        <v>15</v>
      </c>
      <c r="D17" s="5">
        <v>2500</v>
      </c>
    </row>
    <row r="18" spans="1:4" x14ac:dyDescent="0.25">
      <c r="A18" s="4" t="s">
        <v>8</v>
      </c>
      <c r="B18" s="4" t="s">
        <v>11</v>
      </c>
      <c r="C18" s="4" t="s">
        <v>15</v>
      </c>
      <c r="D18" s="5">
        <v>150</v>
      </c>
    </row>
    <row r="19" spans="1:4" x14ac:dyDescent="0.25">
      <c r="A19" s="4" t="s">
        <v>9</v>
      </c>
      <c r="B19" s="4" t="s">
        <v>11</v>
      </c>
      <c r="C19" s="4" t="s">
        <v>15</v>
      </c>
      <c r="D19" s="5">
        <v>190</v>
      </c>
    </row>
  </sheetData>
  <sortState xmlns:xlrd2="http://schemas.microsoft.com/office/spreadsheetml/2017/richdata2" ref="A2:D19">
    <sortCondition ref="C2:C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816A-BB28-4716-BC83-CB01858CBD0D}">
  <dimension ref="B4:O25"/>
  <sheetViews>
    <sheetView topLeftCell="A13" workbookViewId="0">
      <selection activeCell="C23" sqref="C23"/>
    </sheetView>
  </sheetViews>
  <sheetFormatPr baseColWidth="10" defaultRowHeight="15" x14ac:dyDescent="0.25"/>
  <cols>
    <col min="4" max="5" width="14.42578125" bestFit="1" customWidth="1"/>
    <col min="10" max="10" width="14.42578125" bestFit="1" customWidth="1"/>
    <col min="15" max="15" width="14.42578125" bestFit="1" customWidth="1"/>
  </cols>
  <sheetData>
    <row r="4" spans="2:15" x14ac:dyDescent="0.25">
      <c r="B4" s="7" t="s">
        <v>4</v>
      </c>
      <c r="C4" s="6" t="s">
        <v>16</v>
      </c>
      <c r="D4" s="6" t="s">
        <v>17</v>
      </c>
      <c r="E4" s="6" t="s">
        <v>18</v>
      </c>
      <c r="G4" s="7" t="s">
        <v>5</v>
      </c>
      <c r="H4" s="6" t="s">
        <v>16</v>
      </c>
      <c r="I4" s="6" t="s">
        <v>17</v>
      </c>
      <c r="J4" s="6" t="s">
        <v>18</v>
      </c>
      <c r="L4" s="7" t="s">
        <v>24</v>
      </c>
      <c r="M4" s="6" t="s">
        <v>16</v>
      </c>
      <c r="N4" s="6" t="s">
        <v>17</v>
      </c>
      <c r="O4" s="6" t="s">
        <v>18</v>
      </c>
    </row>
    <row r="5" spans="2:15" x14ac:dyDescent="0.25">
      <c r="B5" s="4" t="s">
        <v>12</v>
      </c>
      <c r="C5" s="4">
        <v>328</v>
      </c>
      <c r="D5" s="4">
        <v>23</v>
      </c>
      <c r="E5" s="4">
        <v>21</v>
      </c>
      <c r="G5" s="4" t="s">
        <v>12</v>
      </c>
      <c r="H5" s="4">
        <v>83</v>
      </c>
      <c r="I5" s="4">
        <v>24</v>
      </c>
      <c r="J5" s="4">
        <v>124</v>
      </c>
      <c r="L5" s="4" t="s">
        <v>12</v>
      </c>
      <c r="M5" s="4">
        <v>328</v>
      </c>
      <c r="N5" s="4">
        <v>123</v>
      </c>
      <c r="O5" s="4">
        <v>145</v>
      </c>
    </row>
    <row r="6" spans="2:15" x14ac:dyDescent="0.25">
      <c r="B6" s="4" t="s">
        <v>19</v>
      </c>
      <c r="C6" s="4">
        <v>79</v>
      </c>
      <c r="D6" s="4">
        <v>45</v>
      </c>
      <c r="E6" s="4">
        <v>45</v>
      </c>
      <c r="G6" s="4" t="s">
        <v>19</v>
      </c>
      <c r="H6" s="4">
        <v>98</v>
      </c>
      <c r="I6" s="4">
        <v>28</v>
      </c>
      <c r="J6" s="4">
        <v>58</v>
      </c>
      <c r="L6" s="4" t="s">
        <v>19</v>
      </c>
      <c r="M6" s="4">
        <v>154</v>
      </c>
      <c r="N6" s="4">
        <v>149</v>
      </c>
      <c r="O6" s="4">
        <v>98</v>
      </c>
    </row>
    <row r="7" spans="2:15" x14ac:dyDescent="0.25">
      <c r="B7" s="4" t="s">
        <v>20</v>
      </c>
      <c r="C7" s="4">
        <v>34</v>
      </c>
      <c r="D7" s="4">
        <v>212</v>
      </c>
      <c r="E7" s="4">
        <v>112</v>
      </c>
      <c r="G7" s="4" t="s">
        <v>20</v>
      </c>
      <c r="H7" s="4">
        <v>18</v>
      </c>
      <c r="I7" s="4">
        <v>98</v>
      </c>
      <c r="J7" s="4">
        <v>54</v>
      </c>
      <c r="L7" s="4" t="s">
        <v>20</v>
      </c>
      <c r="M7" s="4">
        <v>57</v>
      </c>
      <c r="N7" s="4">
        <v>212</v>
      </c>
      <c r="O7" s="4">
        <v>143</v>
      </c>
    </row>
    <row r="10" spans="2:15" x14ac:dyDescent="0.25">
      <c r="B10" s="7" t="s">
        <v>6</v>
      </c>
      <c r="C10" s="6" t="s">
        <v>16</v>
      </c>
      <c r="D10" s="6" t="s">
        <v>17</v>
      </c>
      <c r="E10" s="6" t="s">
        <v>18</v>
      </c>
      <c r="G10" s="7" t="s">
        <v>7</v>
      </c>
      <c r="H10" s="6" t="s">
        <v>16</v>
      </c>
      <c r="I10" s="6" t="s">
        <v>17</v>
      </c>
      <c r="J10" s="6" t="s">
        <v>18</v>
      </c>
      <c r="L10" s="7" t="s">
        <v>23</v>
      </c>
      <c r="M10" s="6" t="s">
        <v>16</v>
      </c>
      <c r="N10" s="6" t="s">
        <v>17</v>
      </c>
      <c r="O10" s="6" t="s">
        <v>18</v>
      </c>
    </row>
    <row r="11" spans="2:15" x14ac:dyDescent="0.25">
      <c r="B11" s="4" t="s">
        <v>12</v>
      </c>
      <c r="C11" s="4">
        <v>134</v>
      </c>
      <c r="D11" s="4">
        <v>48</v>
      </c>
      <c r="E11" s="4">
        <v>24</v>
      </c>
      <c r="G11" s="4" t="s">
        <v>12</v>
      </c>
      <c r="H11" s="4">
        <v>67</v>
      </c>
      <c r="I11" s="4">
        <v>112</v>
      </c>
      <c r="J11" s="4">
        <v>92</v>
      </c>
      <c r="L11" s="4" t="s">
        <v>12</v>
      </c>
      <c r="M11" s="4">
        <v>49</v>
      </c>
      <c r="N11" s="4">
        <v>23</v>
      </c>
      <c r="O11" s="4">
        <v>21</v>
      </c>
    </row>
    <row r="12" spans="2:15" x14ac:dyDescent="0.25">
      <c r="B12" s="4" t="s">
        <v>19</v>
      </c>
      <c r="C12" s="4">
        <v>154</v>
      </c>
      <c r="D12" s="4">
        <v>57</v>
      </c>
      <c r="E12" s="4">
        <v>64</v>
      </c>
      <c r="G12" s="4" t="s">
        <v>19</v>
      </c>
      <c r="H12" s="4">
        <v>36</v>
      </c>
      <c r="I12" s="4">
        <v>134</v>
      </c>
      <c r="J12" s="4">
        <v>98</v>
      </c>
      <c r="L12" s="4" t="s">
        <v>19</v>
      </c>
      <c r="M12" s="4">
        <v>23</v>
      </c>
      <c r="N12" s="4">
        <v>28</v>
      </c>
      <c r="O12" s="4">
        <v>45</v>
      </c>
    </row>
    <row r="13" spans="2:15" x14ac:dyDescent="0.25">
      <c r="B13" s="4" t="s">
        <v>20</v>
      </c>
      <c r="C13" s="4">
        <v>12</v>
      </c>
      <c r="D13" s="4">
        <v>143</v>
      </c>
      <c r="E13" s="4">
        <v>14</v>
      </c>
      <c r="G13" s="4" t="s">
        <v>20</v>
      </c>
      <c r="H13" s="4">
        <v>34</v>
      </c>
      <c r="I13" s="4">
        <v>25</v>
      </c>
      <c r="J13" s="4">
        <v>143</v>
      </c>
      <c r="L13" s="4" t="s">
        <v>20</v>
      </c>
      <c r="M13" s="4">
        <v>12</v>
      </c>
      <c r="N13" s="4">
        <v>24</v>
      </c>
      <c r="O13" s="4">
        <v>14</v>
      </c>
    </row>
    <row r="16" spans="2:15" x14ac:dyDescent="0.25">
      <c r="B16" s="7" t="s">
        <v>8</v>
      </c>
      <c r="C16" s="6" t="s">
        <v>16</v>
      </c>
      <c r="D16" s="6" t="s">
        <v>17</v>
      </c>
      <c r="E16" s="6" t="s">
        <v>18</v>
      </c>
      <c r="G16" s="7" t="s">
        <v>9</v>
      </c>
      <c r="H16" s="6" t="s">
        <v>16</v>
      </c>
      <c r="I16" s="6" t="s">
        <v>17</v>
      </c>
      <c r="J16" s="6" t="s">
        <v>18</v>
      </c>
    </row>
    <row r="17" spans="2:10" x14ac:dyDescent="0.25">
      <c r="B17" s="4" t="s">
        <v>12</v>
      </c>
      <c r="C17" s="4">
        <v>94</v>
      </c>
      <c r="D17" s="4">
        <v>123</v>
      </c>
      <c r="E17" s="4">
        <v>145</v>
      </c>
      <c r="G17" s="4" t="s">
        <v>12</v>
      </c>
      <c r="H17" s="4">
        <v>49</v>
      </c>
      <c r="I17" s="4">
        <v>23</v>
      </c>
      <c r="J17" s="4">
        <v>89</v>
      </c>
    </row>
    <row r="18" spans="2:10" x14ac:dyDescent="0.25">
      <c r="B18" s="4" t="s">
        <v>19</v>
      </c>
      <c r="C18" s="4">
        <v>64</v>
      </c>
      <c r="D18" s="4">
        <v>149</v>
      </c>
      <c r="E18" s="4">
        <v>73</v>
      </c>
      <c r="G18" s="4" t="s">
        <v>19</v>
      </c>
      <c r="H18" s="4">
        <v>23</v>
      </c>
      <c r="I18" s="4">
        <v>45</v>
      </c>
      <c r="J18" s="4">
        <v>63</v>
      </c>
    </row>
    <row r="19" spans="2:10" x14ac:dyDescent="0.25">
      <c r="B19" s="4" t="s">
        <v>20</v>
      </c>
      <c r="C19" s="4">
        <v>36</v>
      </c>
      <c r="D19" s="4">
        <v>146</v>
      </c>
      <c r="E19" s="4">
        <v>83</v>
      </c>
      <c r="G19" s="4" t="s">
        <v>20</v>
      </c>
      <c r="H19" s="4">
        <v>57</v>
      </c>
      <c r="I19" s="4">
        <v>24</v>
      </c>
      <c r="J19" s="4">
        <v>84</v>
      </c>
    </row>
    <row r="22" spans="2:10" x14ac:dyDescent="0.25">
      <c r="B22" s="7" t="s">
        <v>21</v>
      </c>
      <c r="C22" s="6" t="s">
        <v>16</v>
      </c>
      <c r="D22" s="6" t="s">
        <v>17</v>
      </c>
      <c r="E22" s="6" t="s">
        <v>18</v>
      </c>
      <c r="G22" s="7" t="s">
        <v>22</v>
      </c>
      <c r="H22" s="6" t="s">
        <v>16</v>
      </c>
      <c r="I22" s="6" t="s">
        <v>17</v>
      </c>
      <c r="J22" s="6" t="s">
        <v>18</v>
      </c>
    </row>
    <row r="23" spans="2:10" x14ac:dyDescent="0.25">
      <c r="B23" s="4" t="s">
        <v>12</v>
      </c>
      <c r="C23" s="4">
        <v>755</v>
      </c>
      <c r="D23" s="4">
        <v>353</v>
      </c>
      <c r="E23" s="4">
        <v>495</v>
      </c>
      <c r="G23" s="4" t="s">
        <v>12</v>
      </c>
      <c r="H23" s="8">
        <v>125.833333333333</v>
      </c>
      <c r="I23" s="8">
        <v>58.833333333333336</v>
      </c>
      <c r="J23" s="8">
        <v>82.5</v>
      </c>
    </row>
    <row r="24" spans="2:10" x14ac:dyDescent="0.25">
      <c r="B24" s="4" t="s">
        <v>19</v>
      </c>
      <c r="C24" s="4">
        <v>454</v>
      </c>
      <c r="D24" s="4">
        <v>458</v>
      </c>
      <c r="E24" s="4">
        <v>401</v>
      </c>
      <c r="G24" s="4" t="s">
        <v>19</v>
      </c>
      <c r="H24" s="8">
        <v>75.666666666666671</v>
      </c>
      <c r="I24" s="8">
        <v>76.333333333333329</v>
      </c>
      <c r="J24" s="8">
        <v>66.833333333333329</v>
      </c>
    </row>
    <row r="25" spans="2:10" x14ac:dyDescent="0.25">
      <c r="B25" s="4" t="s">
        <v>20</v>
      </c>
      <c r="C25" s="4">
        <v>191</v>
      </c>
      <c r="D25" s="4">
        <v>648</v>
      </c>
      <c r="E25" s="4">
        <v>490</v>
      </c>
      <c r="G25" s="4" t="s">
        <v>20</v>
      </c>
      <c r="H25" s="8">
        <v>31.833333333333332</v>
      </c>
      <c r="I25" s="8">
        <v>108</v>
      </c>
      <c r="J25" s="8">
        <v>81.666666666666671</v>
      </c>
    </row>
  </sheetData>
  <dataConsolidate function="min" topLabels="1">
    <dataRefs count="6">
      <dataRef name="ABRIL"/>
      <dataRef name="ENERO"/>
      <dataRef name="FEBRERO"/>
      <dataRef name="JUNIO"/>
      <dataRef name="MARZO"/>
      <dataRef name="MAYO"/>
    </dataRefs>
  </dataConsolid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3B19-C5B2-4523-90B5-5FA0CCDD302A}">
  <dimension ref="A1:E7"/>
  <sheetViews>
    <sheetView zoomScale="89" workbookViewId="0">
      <selection activeCell="E2" sqref="E2"/>
    </sheetView>
  </sheetViews>
  <sheetFormatPr baseColWidth="10" defaultRowHeight="15" x14ac:dyDescent="0.25"/>
  <cols>
    <col min="2" max="5" width="11.42578125" style="1"/>
  </cols>
  <sheetData>
    <row r="1" spans="1:5" x14ac:dyDescent="0.25">
      <c r="A1" s="7" t="s">
        <v>0</v>
      </c>
      <c r="B1" s="9" t="s">
        <v>25</v>
      </c>
      <c r="C1" s="9" t="s">
        <v>26</v>
      </c>
      <c r="D1" s="9" t="s">
        <v>28</v>
      </c>
      <c r="E1" s="9" t="s">
        <v>27</v>
      </c>
    </row>
    <row r="2" spans="1:5" x14ac:dyDescent="0.25">
      <c r="A2" s="4" t="s">
        <v>4</v>
      </c>
      <c r="B2" s="5">
        <v>2394</v>
      </c>
      <c r="C2" s="5">
        <v>346</v>
      </c>
      <c r="D2" s="5">
        <v>1276</v>
      </c>
      <c r="E2" s="5">
        <f>B2-C2-D2</f>
        <v>772</v>
      </c>
    </row>
    <row r="3" spans="1:5" x14ac:dyDescent="0.25">
      <c r="A3" s="4" t="s">
        <v>5</v>
      </c>
      <c r="B3" s="5">
        <v>2365</v>
      </c>
      <c r="C3" s="5">
        <v>313</v>
      </c>
      <c r="D3" s="5">
        <v>921</v>
      </c>
      <c r="E3" s="5">
        <f t="shared" ref="E3:E7" si="0">B3-C3-D3</f>
        <v>1131</v>
      </c>
    </row>
    <row r="4" spans="1:5" x14ac:dyDescent="0.25">
      <c r="A4" s="4" t="s">
        <v>6</v>
      </c>
      <c r="B4" s="5">
        <v>1245</v>
      </c>
      <c r="C4" s="5">
        <v>431</v>
      </c>
      <c r="D4" s="5">
        <v>732</v>
      </c>
      <c r="E4" s="5">
        <f t="shared" si="0"/>
        <v>82</v>
      </c>
    </row>
    <row r="5" spans="1:5" x14ac:dyDescent="0.25">
      <c r="A5" s="4" t="s">
        <v>7</v>
      </c>
      <c r="B5" s="5">
        <v>3421</v>
      </c>
      <c r="C5" s="5">
        <v>527</v>
      </c>
      <c r="D5" s="5">
        <v>725</v>
      </c>
      <c r="E5" s="5">
        <f t="shared" si="0"/>
        <v>2169</v>
      </c>
    </row>
    <row r="6" spans="1:5" x14ac:dyDescent="0.25">
      <c r="A6" s="4" t="s">
        <v>8</v>
      </c>
      <c r="B6" s="5">
        <v>2891</v>
      </c>
      <c r="C6" s="5">
        <v>251</v>
      </c>
      <c r="D6" s="5">
        <v>641</v>
      </c>
      <c r="E6" s="5">
        <f t="shared" si="0"/>
        <v>1999</v>
      </c>
    </row>
    <row r="7" spans="1:5" x14ac:dyDescent="0.25">
      <c r="A7" s="4" t="s">
        <v>9</v>
      </c>
      <c r="B7" s="5">
        <v>1983</v>
      </c>
      <c r="C7" s="5">
        <v>296</v>
      </c>
      <c r="D7" s="5">
        <v>602</v>
      </c>
      <c r="E7" s="5">
        <f t="shared" si="0"/>
        <v>1085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45BC-E66C-4550-AFFF-3E3BB32B76D2}">
  <dimension ref="A1:C15"/>
  <sheetViews>
    <sheetView zoomScale="89" zoomScaleNormal="55" workbookViewId="0">
      <selection activeCell="I19" sqref="I19"/>
    </sheetView>
  </sheetViews>
  <sheetFormatPr baseColWidth="10" defaultRowHeight="15" x14ac:dyDescent="0.25"/>
  <cols>
    <col min="1" max="1" width="14.28515625" bestFit="1" customWidth="1"/>
    <col min="2" max="2" width="11.85546875" style="1" bestFit="1" customWidth="1"/>
  </cols>
  <sheetData>
    <row r="1" spans="1:3" x14ac:dyDescent="0.25">
      <c r="A1" s="10" t="s">
        <v>29</v>
      </c>
      <c r="B1" s="11" t="s">
        <v>30</v>
      </c>
      <c r="C1" s="10" t="s">
        <v>33</v>
      </c>
    </row>
    <row r="2" spans="1:3" x14ac:dyDescent="0.25">
      <c r="A2" s="4" t="s">
        <v>16</v>
      </c>
      <c r="B2" s="5">
        <v>15600</v>
      </c>
      <c r="C2" s="13">
        <f>B2/SUM(B$2:B$5)</f>
        <v>0.24979983987189752</v>
      </c>
    </row>
    <row r="3" spans="1:3" x14ac:dyDescent="0.25">
      <c r="A3" s="4" t="s">
        <v>17</v>
      </c>
      <c r="B3" s="5">
        <v>23450</v>
      </c>
      <c r="C3" s="13">
        <f t="shared" ref="C3:C5" si="0">B3/SUM(B$2:B$5)</f>
        <v>0.37550040032025622</v>
      </c>
    </row>
    <row r="4" spans="1:3" x14ac:dyDescent="0.25">
      <c r="A4" s="4" t="s">
        <v>31</v>
      </c>
      <c r="B4" s="5">
        <v>14500</v>
      </c>
      <c r="C4" s="13">
        <f t="shared" si="0"/>
        <v>0.23218574859887911</v>
      </c>
    </row>
    <row r="5" spans="1:3" x14ac:dyDescent="0.25">
      <c r="A5" s="4" t="s">
        <v>32</v>
      </c>
      <c r="B5" s="5">
        <v>8900</v>
      </c>
      <c r="C5" s="13">
        <f t="shared" si="0"/>
        <v>0.14251401120896717</v>
      </c>
    </row>
    <row r="6" spans="1:3" x14ac:dyDescent="0.25">
      <c r="C6" s="14">
        <f>SUM(C2:C5)</f>
        <v>1</v>
      </c>
    </row>
    <row r="8" spans="1:3" x14ac:dyDescent="0.25">
      <c r="B8" s="1" t="s">
        <v>34</v>
      </c>
    </row>
    <row r="10" spans="1:3" x14ac:dyDescent="0.25">
      <c r="A10" s="10" t="s">
        <v>35</v>
      </c>
      <c r="B10" s="11" t="s">
        <v>33</v>
      </c>
    </row>
    <row r="11" spans="1:3" x14ac:dyDescent="0.25">
      <c r="A11" s="4" t="s">
        <v>36</v>
      </c>
      <c r="B11" s="13">
        <v>0.16</v>
      </c>
    </row>
    <row r="12" spans="1:3" x14ac:dyDescent="0.25">
      <c r="A12" s="4" t="s">
        <v>37</v>
      </c>
      <c r="B12" s="13">
        <f>100%-B11</f>
        <v>0.84</v>
      </c>
    </row>
    <row r="13" spans="1:3" x14ac:dyDescent="0.25">
      <c r="A13" s="4" t="s">
        <v>38</v>
      </c>
      <c r="B13" s="13">
        <v>0.56000000000000005</v>
      </c>
    </row>
    <row r="14" spans="1:3" x14ac:dyDescent="0.25">
      <c r="A14" s="4" t="s">
        <v>39</v>
      </c>
      <c r="B14" s="13">
        <f>100%-B13</f>
        <v>0.43999999999999995</v>
      </c>
    </row>
    <row r="15" spans="1:3" x14ac:dyDescent="0.25">
      <c r="B15" s="1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B6B26-68A3-4971-9E43-A6340B02BB0D}">
  <dimension ref="A1:C7"/>
  <sheetViews>
    <sheetView workbookViewId="0">
      <selection activeCell="M16" sqref="M16"/>
    </sheetView>
  </sheetViews>
  <sheetFormatPr baseColWidth="10" defaultRowHeight="15" x14ac:dyDescent="0.25"/>
  <sheetData>
    <row r="1" spans="1:3" x14ac:dyDescent="0.25">
      <c r="A1" s="7" t="s">
        <v>0</v>
      </c>
      <c r="B1" s="9" t="s">
        <v>25</v>
      </c>
      <c r="C1" s="2" t="s">
        <v>33</v>
      </c>
    </row>
    <row r="2" spans="1:3" x14ac:dyDescent="0.25">
      <c r="A2" s="4" t="s">
        <v>4</v>
      </c>
      <c r="B2" s="5">
        <v>2394</v>
      </c>
      <c r="C2" s="15">
        <f>B2/SUM(B$2:B$7)</f>
        <v>0.16742429540527309</v>
      </c>
    </row>
    <row r="3" spans="1:3" x14ac:dyDescent="0.25">
      <c r="A3" s="4" t="s">
        <v>5</v>
      </c>
      <c r="B3" s="5">
        <v>2365</v>
      </c>
      <c r="C3" s="15">
        <f t="shared" ref="C3:C7" si="0">B3/SUM(B$2:B$7)</f>
        <v>0.16539618155115743</v>
      </c>
    </row>
    <row r="4" spans="1:3" x14ac:dyDescent="0.25">
      <c r="A4" s="4" t="s">
        <v>6</v>
      </c>
      <c r="B4" s="5">
        <v>1245</v>
      </c>
      <c r="C4" s="15">
        <f t="shared" si="0"/>
        <v>8.7069025806000414E-2</v>
      </c>
    </row>
    <row r="5" spans="1:3" x14ac:dyDescent="0.25">
      <c r="A5" s="4" t="s">
        <v>7</v>
      </c>
      <c r="B5" s="5">
        <v>3421</v>
      </c>
      <c r="C5" s="15">
        <f t="shared" si="0"/>
        <v>0.23924749982516261</v>
      </c>
    </row>
    <row r="6" spans="1:3" x14ac:dyDescent="0.25">
      <c r="A6" s="4" t="s">
        <v>8</v>
      </c>
      <c r="B6" s="5">
        <v>2891</v>
      </c>
      <c r="C6" s="15">
        <f t="shared" si="0"/>
        <v>0.20218197076718653</v>
      </c>
    </row>
    <row r="7" spans="1:3" x14ac:dyDescent="0.25">
      <c r="A7" s="4" t="s">
        <v>9</v>
      </c>
      <c r="B7" s="5">
        <v>1983</v>
      </c>
      <c r="C7" s="15">
        <f t="shared" si="0"/>
        <v>0.13868102664521995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6359-C59D-4407-A76D-DF4994E8693A}">
  <dimension ref="A1:P40"/>
  <sheetViews>
    <sheetView workbookViewId="0">
      <selection activeCell="J21" sqref="J21"/>
    </sheetView>
  </sheetViews>
  <sheetFormatPr baseColWidth="10" defaultRowHeight="15" x14ac:dyDescent="0.25"/>
  <sheetData>
    <row r="1" spans="1:16" x14ac:dyDescent="0.25">
      <c r="A1" s="2" t="s">
        <v>0</v>
      </c>
      <c r="B1" s="2" t="s">
        <v>1</v>
      </c>
      <c r="C1" s="2" t="s">
        <v>2</v>
      </c>
      <c r="D1" s="3" t="s">
        <v>3</v>
      </c>
      <c r="G1" s="2" t="s">
        <v>0</v>
      </c>
      <c r="H1" s="2" t="s">
        <v>1</v>
      </c>
      <c r="I1" s="2" t="s">
        <v>2</v>
      </c>
      <c r="J1" s="3" t="s">
        <v>3</v>
      </c>
      <c r="M1" s="2" t="s">
        <v>0</v>
      </c>
      <c r="N1" s="2" t="s">
        <v>1</v>
      </c>
      <c r="O1" s="2" t="s">
        <v>2</v>
      </c>
      <c r="P1" s="3" t="s">
        <v>3</v>
      </c>
    </row>
    <row r="2" spans="1:16" x14ac:dyDescent="0.25">
      <c r="A2" s="4" t="s">
        <v>40</v>
      </c>
      <c r="B2" s="4" t="s">
        <v>11</v>
      </c>
      <c r="C2" s="4" t="s">
        <v>14</v>
      </c>
      <c r="D2" s="5">
        <v>250</v>
      </c>
      <c r="G2" s="4" t="s">
        <v>40</v>
      </c>
      <c r="H2" s="4" t="s">
        <v>10</v>
      </c>
      <c r="I2" s="4" t="s">
        <v>13</v>
      </c>
      <c r="J2" s="5">
        <v>140</v>
      </c>
      <c r="M2" s="4" t="s">
        <v>42</v>
      </c>
      <c r="N2" s="4" t="s">
        <v>12</v>
      </c>
      <c r="O2" s="4" t="s">
        <v>13</v>
      </c>
      <c r="P2" s="5">
        <v>130</v>
      </c>
    </row>
    <row r="3" spans="1:16" x14ac:dyDescent="0.25">
      <c r="A3" s="4" t="s">
        <v>40</v>
      </c>
      <c r="B3" s="4" t="s">
        <v>10</v>
      </c>
      <c r="C3" s="4" t="s">
        <v>13</v>
      </c>
      <c r="D3" s="5">
        <v>140</v>
      </c>
      <c r="G3" s="4" t="s">
        <v>41</v>
      </c>
      <c r="H3" s="4" t="s">
        <v>10</v>
      </c>
      <c r="I3" s="4" t="s">
        <v>13</v>
      </c>
      <c r="J3" s="5">
        <v>460</v>
      </c>
      <c r="M3" s="4" t="s">
        <v>40</v>
      </c>
      <c r="N3" s="4" t="s">
        <v>10</v>
      </c>
      <c r="O3" s="4" t="s">
        <v>13</v>
      </c>
      <c r="P3" s="5">
        <v>140</v>
      </c>
    </row>
    <row r="4" spans="1:16" x14ac:dyDescent="0.25">
      <c r="A4" s="4" t="s">
        <v>40</v>
      </c>
      <c r="B4" s="4" t="s">
        <v>12</v>
      </c>
      <c r="C4" s="4" t="s">
        <v>15</v>
      </c>
      <c r="D4" s="5">
        <v>1200</v>
      </c>
      <c r="G4" s="4" t="s">
        <v>42</v>
      </c>
      <c r="H4" s="4" t="s">
        <v>10</v>
      </c>
      <c r="I4" s="4" t="s">
        <v>15</v>
      </c>
      <c r="J4" s="5">
        <v>670</v>
      </c>
      <c r="M4" s="4" t="s">
        <v>44</v>
      </c>
      <c r="N4" s="4" t="s">
        <v>11</v>
      </c>
      <c r="O4" s="4" t="s">
        <v>15</v>
      </c>
      <c r="P4" s="5">
        <v>150</v>
      </c>
    </row>
    <row r="5" spans="1:16" x14ac:dyDescent="0.25">
      <c r="A5" s="4" t="s">
        <v>41</v>
      </c>
      <c r="B5" s="4" t="s">
        <v>12</v>
      </c>
      <c r="C5" s="4" t="s">
        <v>14</v>
      </c>
      <c r="D5" s="5">
        <v>340</v>
      </c>
      <c r="G5" s="4" t="s">
        <v>43</v>
      </c>
      <c r="H5" s="4" t="s">
        <v>10</v>
      </c>
      <c r="I5" s="4" t="s">
        <v>14</v>
      </c>
      <c r="J5" s="5">
        <v>450</v>
      </c>
      <c r="M5" s="4" t="s">
        <v>45</v>
      </c>
      <c r="N5" s="4" t="s">
        <v>12</v>
      </c>
      <c r="O5" s="4" t="s">
        <v>14</v>
      </c>
      <c r="P5" s="5">
        <v>150</v>
      </c>
    </row>
    <row r="6" spans="1:16" x14ac:dyDescent="0.25">
      <c r="A6" s="4" t="s">
        <v>41</v>
      </c>
      <c r="B6" s="4" t="s">
        <v>10</v>
      </c>
      <c r="C6" s="4" t="s">
        <v>13</v>
      </c>
      <c r="D6" s="5">
        <v>460</v>
      </c>
      <c r="G6" s="4" t="s">
        <v>44</v>
      </c>
      <c r="H6" s="4" t="s">
        <v>10</v>
      </c>
      <c r="I6" s="4" t="s">
        <v>15</v>
      </c>
      <c r="J6" s="5">
        <v>2500</v>
      </c>
      <c r="M6" s="4" t="s">
        <v>45</v>
      </c>
      <c r="N6" s="4" t="s">
        <v>12</v>
      </c>
      <c r="O6" s="4" t="s">
        <v>13</v>
      </c>
      <c r="P6" s="5">
        <v>160</v>
      </c>
    </row>
    <row r="7" spans="1:16" x14ac:dyDescent="0.25">
      <c r="A7" s="4" t="s">
        <v>41</v>
      </c>
      <c r="B7" s="4" t="s">
        <v>12</v>
      </c>
      <c r="C7" s="4" t="s">
        <v>15</v>
      </c>
      <c r="D7" s="5">
        <v>1204</v>
      </c>
      <c r="G7" s="4" t="s">
        <v>40</v>
      </c>
      <c r="H7" s="4" t="s">
        <v>12</v>
      </c>
      <c r="I7" s="4" t="s">
        <v>15</v>
      </c>
      <c r="J7" s="5">
        <v>1200</v>
      </c>
      <c r="M7" s="4" t="s">
        <v>45</v>
      </c>
      <c r="N7" s="4" t="s">
        <v>11</v>
      </c>
      <c r="O7" s="4" t="s">
        <v>15</v>
      </c>
      <c r="P7" s="5">
        <v>190</v>
      </c>
    </row>
    <row r="8" spans="1:16" x14ac:dyDescent="0.25">
      <c r="A8" s="4" t="s">
        <v>42</v>
      </c>
      <c r="B8" s="4" t="s">
        <v>11</v>
      </c>
      <c r="C8" s="4" t="s">
        <v>14</v>
      </c>
      <c r="D8" s="5">
        <v>560</v>
      </c>
      <c r="G8" s="4" t="s">
        <v>41</v>
      </c>
      <c r="H8" s="4" t="s">
        <v>12</v>
      </c>
      <c r="I8" s="4" t="s">
        <v>14</v>
      </c>
      <c r="J8" s="5">
        <v>340</v>
      </c>
      <c r="M8" s="4" t="s">
        <v>40</v>
      </c>
      <c r="N8" s="4" t="s">
        <v>11</v>
      </c>
      <c r="O8" s="4" t="s">
        <v>14</v>
      </c>
      <c r="P8" s="5">
        <v>250</v>
      </c>
    </row>
    <row r="9" spans="1:16" x14ac:dyDescent="0.25">
      <c r="A9" s="4" t="s">
        <v>42</v>
      </c>
      <c r="B9" s="4" t="s">
        <v>12</v>
      </c>
      <c r="C9" s="4" t="s">
        <v>13</v>
      </c>
      <c r="D9" s="5">
        <v>130</v>
      </c>
      <c r="G9" s="4" t="s">
        <v>41</v>
      </c>
      <c r="H9" s="4" t="s">
        <v>12</v>
      </c>
      <c r="I9" s="4" t="s">
        <v>15</v>
      </c>
      <c r="J9" s="5">
        <v>1204</v>
      </c>
      <c r="M9" s="4" t="s">
        <v>41</v>
      </c>
      <c r="N9" s="4" t="s">
        <v>12</v>
      </c>
      <c r="O9" s="4" t="s">
        <v>14</v>
      </c>
      <c r="P9" s="5">
        <v>340</v>
      </c>
    </row>
    <row r="10" spans="1:16" x14ac:dyDescent="0.25">
      <c r="A10" s="4" t="s">
        <v>42</v>
      </c>
      <c r="B10" s="4" t="s">
        <v>10</v>
      </c>
      <c r="C10" s="4" t="s">
        <v>15</v>
      </c>
      <c r="D10" s="5">
        <v>670</v>
      </c>
      <c r="G10" s="4" t="s">
        <v>42</v>
      </c>
      <c r="H10" s="4" t="s">
        <v>12</v>
      </c>
      <c r="I10" s="4" t="s">
        <v>13</v>
      </c>
      <c r="J10" s="5">
        <v>130</v>
      </c>
      <c r="M10" s="4" t="s">
        <v>44</v>
      </c>
      <c r="N10" s="4" t="s">
        <v>12</v>
      </c>
      <c r="O10" s="4" t="s">
        <v>13</v>
      </c>
      <c r="P10" s="5">
        <v>340</v>
      </c>
    </row>
    <row r="11" spans="1:16" x14ac:dyDescent="0.25">
      <c r="A11" s="4" t="s">
        <v>43</v>
      </c>
      <c r="B11" s="4" t="s">
        <v>10</v>
      </c>
      <c r="C11" s="4" t="s">
        <v>14</v>
      </c>
      <c r="D11" s="5">
        <v>450</v>
      </c>
      <c r="G11" s="4" t="s">
        <v>43</v>
      </c>
      <c r="H11" s="4" t="s">
        <v>12</v>
      </c>
      <c r="I11" s="4" t="s">
        <v>13</v>
      </c>
      <c r="J11" s="5">
        <v>980</v>
      </c>
      <c r="M11" s="4" t="s">
        <v>43</v>
      </c>
      <c r="N11" s="4" t="s">
        <v>10</v>
      </c>
      <c r="O11" s="4" t="s">
        <v>14</v>
      </c>
      <c r="P11" s="5">
        <v>450</v>
      </c>
    </row>
    <row r="12" spans="1:16" x14ac:dyDescent="0.25">
      <c r="A12" s="4" t="s">
        <v>43</v>
      </c>
      <c r="B12" s="4" t="s">
        <v>12</v>
      </c>
      <c r="C12" s="4" t="s">
        <v>13</v>
      </c>
      <c r="D12" s="5">
        <v>980</v>
      </c>
      <c r="G12" s="4" t="s">
        <v>43</v>
      </c>
      <c r="H12" s="4" t="s">
        <v>12</v>
      </c>
      <c r="I12" s="4" t="s">
        <v>15</v>
      </c>
      <c r="J12" s="5">
        <v>1000</v>
      </c>
      <c r="M12" s="4" t="s">
        <v>41</v>
      </c>
      <c r="N12" s="4" t="s">
        <v>10</v>
      </c>
      <c r="O12" s="4" t="s">
        <v>13</v>
      </c>
      <c r="P12" s="5">
        <v>460</v>
      </c>
    </row>
    <row r="13" spans="1:16" x14ac:dyDescent="0.25">
      <c r="A13" s="4" t="s">
        <v>43</v>
      </c>
      <c r="B13" s="4" t="s">
        <v>12</v>
      </c>
      <c r="C13" s="4" t="s">
        <v>15</v>
      </c>
      <c r="D13" s="5">
        <v>1000</v>
      </c>
      <c r="G13" s="4" t="s">
        <v>44</v>
      </c>
      <c r="H13" s="4" t="s">
        <v>12</v>
      </c>
      <c r="I13" s="4" t="s">
        <v>13</v>
      </c>
      <c r="J13" s="5">
        <v>340</v>
      </c>
      <c r="M13" s="4" t="s">
        <v>42</v>
      </c>
      <c r="N13" s="4" t="s">
        <v>11</v>
      </c>
      <c r="O13" s="4" t="s">
        <v>14</v>
      </c>
      <c r="P13" s="5">
        <v>560</v>
      </c>
    </row>
    <row r="14" spans="1:16" x14ac:dyDescent="0.25">
      <c r="A14" s="4" t="s">
        <v>44</v>
      </c>
      <c r="B14" s="4" t="s">
        <v>12</v>
      </c>
      <c r="C14" s="4" t="s">
        <v>13</v>
      </c>
      <c r="D14" s="5">
        <v>340</v>
      </c>
      <c r="G14" s="4" t="s">
        <v>45</v>
      </c>
      <c r="H14" s="4" t="s">
        <v>12</v>
      </c>
      <c r="I14" s="4" t="s">
        <v>14</v>
      </c>
      <c r="J14" s="5">
        <v>150</v>
      </c>
      <c r="M14" s="4" t="s">
        <v>42</v>
      </c>
      <c r="N14" s="4" t="s">
        <v>10</v>
      </c>
      <c r="O14" s="4" t="s">
        <v>15</v>
      </c>
      <c r="P14" s="5">
        <v>670</v>
      </c>
    </row>
    <row r="15" spans="1:16" x14ac:dyDescent="0.25">
      <c r="A15" s="4" t="s">
        <v>44</v>
      </c>
      <c r="B15" s="4" t="s">
        <v>10</v>
      </c>
      <c r="C15" s="4" t="s">
        <v>15</v>
      </c>
      <c r="D15" s="5">
        <v>2500</v>
      </c>
      <c r="G15" s="4" t="s">
        <v>45</v>
      </c>
      <c r="H15" s="4" t="s">
        <v>12</v>
      </c>
      <c r="I15" s="4" t="s">
        <v>13</v>
      </c>
      <c r="J15" s="5">
        <v>160</v>
      </c>
      <c r="M15" s="4" t="s">
        <v>43</v>
      </c>
      <c r="N15" s="4" t="s">
        <v>12</v>
      </c>
      <c r="O15" s="4" t="s">
        <v>13</v>
      </c>
      <c r="P15" s="5">
        <v>980</v>
      </c>
    </row>
    <row r="16" spans="1:16" x14ac:dyDescent="0.25">
      <c r="A16" s="4" t="s">
        <v>44</v>
      </c>
      <c r="B16" s="4" t="s">
        <v>11</v>
      </c>
      <c r="C16" s="4" t="s">
        <v>15</v>
      </c>
      <c r="D16" s="5">
        <v>150</v>
      </c>
      <c r="G16" s="4" t="s">
        <v>40</v>
      </c>
      <c r="H16" s="4" t="s">
        <v>11</v>
      </c>
      <c r="I16" s="4" t="s">
        <v>14</v>
      </c>
      <c r="J16" s="5">
        <v>250</v>
      </c>
      <c r="M16" s="4" t="s">
        <v>43</v>
      </c>
      <c r="N16" s="4" t="s">
        <v>12</v>
      </c>
      <c r="O16" s="4" t="s">
        <v>15</v>
      </c>
      <c r="P16" s="5">
        <v>1000</v>
      </c>
    </row>
    <row r="17" spans="1:16" x14ac:dyDescent="0.25">
      <c r="A17" s="4" t="s">
        <v>45</v>
      </c>
      <c r="B17" s="4" t="s">
        <v>12</v>
      </c>
      <c r="C17" s="4" t="s">
        <v>14</v>
      </c>
      <c r="D17" s="5">
        <v>150</v>
      </c>
      <c r="G17" s="4" t="s">
        <v>42</v>
      </c>
      <c r="H17" s="4" t="s">
        <v>11</v>
      </c>
      <c r="I17" s="4" t="s">
        <v>14</v>
      </c>
      <c r="J17" s="5">
        <v>560</v>
      </c>
      <c r="M17" s="4" t="s">
        <v>40</v>
      </c>
      <c r="N17" s="4" t="s">
        <v>12</v>
      </c>
      <c r="O17" s="4" t="s">
        <v>15</v>
      </c>
      <c r="P17" s="5">
        <v>1200</v>
      </c>
    </row>
    <row r="18" spans="1:16" x14ac:dyDescent="0.25">
      <c r="A18" s="4" t="s">
        <v>45</v>
      </c>
      <c r="B18" s="4" t="s">
        <v>12</v>
      </c>
      <c r="C18" s="4" t="s">
        <v>13</v>
      </c>
      <c r="D18" s="5">
        <v>160</v>
      </c>
      <c r="G18" s="4" t="s">
        <v>44</v>
      </c>
      <c r="H18" s="4" t="s">
        <v>11</v>
      </c>
      <c r="I18" s="4" t="s">
        <v>15</v>
      </c>
      <c r="J18" s="5">
        <v>150</v>
      </c>
      <c r="M18" s="4" t="s">
        <v>41</v>
      </c>
      <c r="N18" s="4" t="s">
        <v>12</v>
      </c>
      <c r="O18" s="4" t="s">
        <v>15</v>
      </c>
      <c r="P18" s="5">
        <v>1204</v>
      </c>
    </row>
    <row r="19" spans="1:16" x14ac:dyDescent="0.25">
      <c r="A19" s="4" t="s">
        <v>45</v>
      </c>
      <c r="B19" s="4" t="s">
        <v>11</v>
      </c>
      <c r="C19" s="4" t="s">
        <v>15</v>
      </c>
      <c r="D19" s="5">
        <v>190</v>
      </c>
      <c r="G19" s="4" t="s">
        <v>45</v>
      </c>
      <c r="H19" s="4" t="s">
        <v>11</v>
      </c>
      <c r="I19" s="4" t="s">
        <v>15</v>
      </c>
      <c r="J19" s="5">
        <v>190</v>
      </c>
      <c r="M19" s="4" t="s">
        <v>44</v>
      </c>
      <c r="N19" s="4" t="s">
        <v>10</v>
      </c>
      <c r="O19" s="4" t="s">
        <v>15</v>
      </c>
      <c r="P19" s="5">
        <v>2500</v>
      </c>
    </row>
    <row r="22" spans="1:16" x14ac:dyDescent="0.25">
      <c r="A22" s="2" t="s">
        <v>0</v>
      </c>
      <c r="B22" s="2" t="s">
        <v>1</v>
      </c>
      <c r="C22" s="2" t="s">
        <v>2</v>
      </c>
      <c r="D22" s="3" t="s">
        <v>3</v>
      </c>
      <c r="G22" s="2" t="s">
        <v>0</v>
      </c>
      <c r="H22" s="2" t="s">
        <v>1</v>
      </c>
      <c r="I22" s="2" t="s">
        <v>2</v>
      </c>
      <c r="J22" s="3" t="s">
        <v>3</v>
      </c>
    </row>
    <row r="23" spans="1:16" x14ac:dyDescent="0.25">
      <c r="A23" s="4" t="s">
        <v>40</v>
      </c>
      <c r="B23" s="4" t="s">
        <v>12</v>
      </c>
      <c r="C23" s="4" t="s">
        <v>15</v>
      </c>
      <c r="D23" s="5">
        <v>1200</v>
      </c>
      <c r="G23" s="4" t="s">
        <v>40</v>
      </c>
      <c r="H23" s="4" t="s">
        <v>12</v>
      </c>
      <c r="I23" s="4" t="s">
        <v>15</v>
      </c>
      <c r="J23" s="5">
        <v>1200</v>
      </c>
    </row>
    <row r="24" spans="1:16" x14ac:dyDescent="0.25">
      <c r="A24" s="4" t="s">
        <v>40</v>
      </c>
      <c r="B24" s="4" t="s">
        <v>10</v>
      </c>
      <c r="C24" s="4" t="s">
        <v>13</v>
      </c>
      <c r="D24" s="5">
        <v>140</v>
      </c>
      <c r="G24" s="4" t="s">
        <v>41</v>
      </c>
      <c r="H24" s="4" t="s">
        <v>12</v>
      </c>
      <c r="I24" s="4" t="s">
        <v>15</v>
      </c>
      <c r="J24" s="5">
        <v>1204</v>
      </c>
    </row>
    <row r="25" spans="1:16" x14ac:dyDescent="0.25">
      <c r="A25" s="4" t="s">
        <v>42</v>
      </c>
      <c r="B25" s="4" t="s">
        <v>11</v>
      </c>
      <c r="C25" s="4" t="s">
        <v>14</v>
      </c>
      <c r="D25" s="5">
        <v>560</v>
      </c>
      <c r="G25" s="4" t="s">
        <v>43</v>
      </c>
      <c r="H25" s="4" t="s">
        <v>12</v>
      </c>
      <c r="I25" s="4" t="s">
        <v>15</v>
      </c>
      <c r="J25" s="5">
        <v>1000</v>
      </c>
    </row>
    <row r="26" spans="1:16" x14ac:dyDescent="0.25">
      <c r="A26" s="4" t="s">
        <v>41</v>
      </c>
      <c r="B26" s="4" t="s">
        <v>12</v>
      </c>
      <c r="C26" s="4" t="s">
        <v>14</v>
      </c>
      <c r="D26" s="5">
        <v>340</v>
      </c>
    </row>
    <row r="27" spans="1:16" x14ac:dyDescent="0.25">
      <c r="A27" s="4" t="s">
        <v>41</v>
      </c>
      <c r="B27" s="4" t="s">
        <v>10</v>
      </c>
      <c r="C27" s="4" t="s">
        <v>13</v>
      </c>
      <c r="D27" s="5">
        <v>460</v>
      </c>
    </row>
    <row r="28" spans="1:16" x14ac:dyDescent="0.25">
      <c r="A28" s="4" t="s">
        <v>41</v>
      </c>
      <c r="B28" s="4" t="s">
        <v>12</v>
      </c>
      <c r="C28" s="4" t="s">
        <v>15</v>
      </c>
      <c r="D28" s="5">
        <v>1204</v>
      </c>
    </row>
    <row r="29" spans="1:16" x14ac:dyDescent="0.25">
      <c r="A29" s="4" t="s">
        <v>40</v>
      </c>
      <c r="B29" s="4" t="s">
        <v>11</v>
      </c>
      <c r="C29" s="4" t="s">
        <v>14</v>
      </c>
      <c r="D29" s="5">
        <v>250</v>
      </c>
    </row>
    <row r="30" spans="1:16" x14ac:dyDescent="0.25">
      <c r="A30" s="4" t="s">
        <v>42</v>
      </c>
      <c r="B30" s="4" t="s">
        <v>12</v>
      </c>
      <c r="C30" s="4" t="s">
        <v>13</v>
      </c>
      <c r="D30" s="5">
        <v>130</v>
      </c>
    </row>
    <row r="31" spans="1:16" x14ac:dyDescent="0.25">
      <c r="A31" s="4" t="s">
        <v>42</v>
      </c>
      <c r="B31" s="4" t="s">
        <v>10</v>
      </c>
      <c r="C31" s="4" t="s">
        <v>15</v>
      </c>
      <c r="D31" s="5">
        <v>670</v>
      </c>
    </row>
    <row r="32" spans="1:16" x14ac:dyDescent="0.25">
      <c r="A32" s="4" t="s">
        <v>43</v>
      </c>
      <c r="B32" s="4" t="s">
        <v>10</v>
      </c>
      <c r="C32" s="4" t="s">
        <v>14</v>
      </c>
      <c r="D32" s="5">
        <v>450</v>
      </c>
    </row>
    <row r="33" spans="1:4" x14ac:dyDescent="0.25">
      <c r="A33" s="4" t="s">
        <v>43</v>
      </c>
      <c r="B33" s="4" t="s">
        <v>12</v>
      </c>
      <c r="C33" s="4" t="s">
        <v>13</v>
      </c>
      <c r="D33" s="5">
        <v>980</v>
      </c>
    </row>
    <row r="34" spans="1:4" x14ac:dyDescent="0.25">
      <c r="A34" s="4" t="s">
        <v>43</v>
      </c>
      <c r="B34" s="4" t="s">
        <v>12</v>
      </c>
      <c r="C34" s="4" t="s">
        <v>15</v>
      </c>
      <c r="D34" s="5">
        <v>1000</v>
      </c>
    </row>
    <row r="35" spans="1:4" x14ac:dyDescent="0.25">
      <c r="A35" s="4" t="s">
        <v>44</v>
      </c>
      <c r="B35" s="4" t="s">
        <v>12</v>
      </c>
      <c r="C35" s="4" t="s">
        <v>13</v>
      </c>
      <c r="D35" s="5">
        <v>340</v>
      </c>
    </row>
    <row r="36" spans="1:4" x14ac:dyDescent="0.25">
      <c r="A36" s="4" t="s">
        <v>44</v>
      </c>
      <c r="B36" s="4" t="s">
        <v>10</v>
      </c>
      <c r="C36" s="4" t="s">
        <v>15</v>
      </c>
      <c r="D36" s="5">
        <v>2500</v>
      </c>
    </row>
    <row r="37" spans="1:4" x14ac:dyDescent="0.25">
      <c r="A37" s="4" t="s">
        <v>44</v>
      </c>
      <c r="B37" s="4" t="s">
        <v>11</v>
      </c>
      <c r="C37" s="4" t="s">
        <v>15</v>
      </c>
      <c r="D37" s="5">
        <v>150</v>
      </c>
    </row>
    <row r="38" spans="1:4" x14ac:dyDescent="0.25">
      <c r="A38" s="4" t="s">
        <v>45</v>
      </c>
      <c r="B38" s="4" t="s">
        <v>12</v>
      </c>
      <c r="C38" s="4" t="s">
        <v>14</v>
      </c>
      <c r="D38" s="5">
        <v>150</v>
      </c>
    </row>
    <row r="39" spans="1:4" x14ac:dyDescent="0.25">
      <c r="A39" s="4" t="s">
        <v>45</v>
      </c>
      <c r="B39" s="4" t="s">
        <v>12</v>
      </c>
      <c r="C39" s="4" t="s">
        <v>13</v>
      </c>
      <c r="D39" s="5">
        <v>160</v>
      </c>
    </row>
    <row r="40" spans="1:4" x14ac:dyDescent="0.25">
      <c r="A40" s="4" t="s">
        <v>45</v>
      </c>
      <c r="B40" s="4" t="s">
        <v>11</v>
      </c>
      <c r="C40" s="4" t="s">
        <v>15</v>
      </c>
      <c r="D40" s="5">
        <v>190</v>
      </c>
    </row>
  </sheetData>
  <sortState xmlns:xlrd2="http://schemas.microsoft.com/office/spreadsheetml/2017/richdata2" ref="M2:P19">
    <sortCondition ref="P2:P19"/>
  </sortState>
  <dataConsolidate topLabe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A134-E6AC-4672-B68F-E58A3EB7107E}">
  <dimension ref="A1:C7"/>
  <sheetViews>
    <sheetView workbookViewId="0">
      <selection sqref="A1:C7"/>
    </sheetView>
  </sheetViews>
  <sheetFormatPr baseColWidth="10" defaultRowHeight="15" x14ac:dyDescent="0.25"/>
  <sheetData>
    <row r="1" spans="1:3" x14ac:dyDescent="0.25">
      <c r="A1" s="7" t="s">
        <v>0</v>
      </c>
      <c r="B1" s="7" t="s">
        <v>46</v>
      </c>
      <c r="C1" s="9" t="s">
        <v>25</v>
      </c>
    </row>
    <row r="2" spans="1:3" x14ac:dyDescent="0.25">
      <c r="A2" s="4" t="s">
        <v>4</v>
      </c>
      <c r="B2" s="4">
        <v>1</v>
      </c>
      <c r="C2" s="5">
        <v>2394</v>
      </c>
    </row>
    <row r="3" spans="1:3" x14ac:dyDescent="0.25">
      <c r="A3" s="4" t="s">
        <v>5</v>
      </c>
      <c r="B3" s="4">
        <v>2</v>
      </c>
      <c r="C3" s="5">
        <v>2365</v>
      </c>
    </row>
    <row r="4" spans="1:3" x14ac:dyDescent="0.25">
      <c r="A4" s="4" t="s">
        <v>6</v>
      </c>
      <c r="B4" s="4">
        <v>3</v>
      </c>
      <c r="C4" s="5">
        <v>1245</v>
      </c>
    </row>
    <row r="5" spans="1:3" x14ac:dyDescent="0.25">
      <c r="A5" s="4" t="s">
        <v>7</v>
      </c>
      <c r="B5" s="4">
        <v>4</v>
      </c>
      <c r="C5" s="5">
        <v>3421</v>
      </c>
    </row>
    <row r="6" spans="1:3" x14ac:dyDescent="0.25">
      <c r="A6" s="4" t="s">
        <v>8</v>
      </c>
      <c r="B6" s="4">
        <v>5</v>
      </c>
      <c r="C6" s="5">
        <v>2891</v>
      </c>
    </row>
    <row r="7" spans="1:3" x14ac:dyDescent="0.25">
      <c r="A7" s="4" t="s">
        <v>9</v>
      </c>
      <c r="B7" s="4">
        <v>6</v>
      </c>
      <c r="C7" s="5">
        <v>1983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8B2A-7319-48A8-BB35-C43BA658B327}">
  <dimension ref="A1:E13"/>
  <sheetViews>
    <sheetView zoomScale="95" workbookViewId="0">
      <selection activeCell="E23" sqref="E23"/>
    </sheetView>
  </sheetViews>
  <sheetFormatPr baseColWidth="10" defaultRowHeight="15" x14ac:dyDescent="0.25"/>
  <cols>
    <col min="2" max="2" width="12.140625" customWidth="1"/>
    <col min="3" max="3" width="21.85546875" customWidth="1"/>
    <col min="4" max="4" width="37.85546875" customWidth="1"/>
    <col min="5" max="5" width="38.5703125" customWidth="1"/>
  </cols>
  <sheetData>
    <row r="1" spans="1:5" x14ac:dyDescent="0.25">
      <c r="A1" t="s">
        <v>46</v>
      </c>
      <c r="B1" t="s">
        <v>25</v>
      </c>
      <c r="C1" t="s">
        <v>47</v>
      </c>
      <c r="D1" t="s">
        <v>48</v>
      </c>
      <c r="E1" t="s">
        <v>49</v>
      </c>
    </row>
    <row r="2" spans="1:5" x14ac:dyDescent="0.25">
      <c r="A2">
        <v>1</v>
      </c>
      <c r="B2" s="1">
        <v>2394</v>
      </c>
    </row>
    <row r="3" spans="1:5" x14ac:dyDescent="0.25">
      <c r="A3">
        <v>2</v>
      </c>
      <c r="B3" s="1">
        <v>2365</v>
      </c>
    </row>
    <row r="4" spans="1:5" x14ac:dyDescent="0.25">
      <c r="A4">
        <v>3</v>
      </c>
      <c r="B4" s="1">
        <v>1245</v>
      </c>
    </row>
    <row r="5" spans="1:5" x14ac:dyDescent="0.25">
      <c r="A5">
        <v>4</v>
      </c>
      <c r="B5" s="1">
        <v>3421</v>
      </c>
    </row>
    <row r="6" spans="1:5" x14ac:dyDescent="0.25">
      <c r="A6">
        <v>5</v>
      </c>
      <c r="B6" s="1">
        <v>2891</v>
      </c>
    </row>
    <row r="7" spans="1:5" x14ac:dyDescent="0.25">
      <c r="A7">
        <v>6</v>
      </c>
      <c r="B7" s="1">
        <v>1983</v>
      </c>
      <c r="C7" s="1">
        <v>1983</v>
      </c>
      <c r="D7" s="1">
        <v>1983</v>
      </c>
      <c r="E7" s="1">
        <v>1983</v>
      </c>
    </row>
    <row r="8" spans="1:5" x14ac:dyDescent="0.25">
      <c r="A8">
        <v>7</v>
      </c>
      <c r="C8" s="1">
        <f t="shared" ref="C8:C13" si="0">_xlfn.FORECAST.ETS(A8,$B$2:$B$7,$A$2:$A$7,1,1)</f>
        <v>2764.9969401945859</v>
      </c>
      <c r="D8" s="1">
        <f t="shared" ref="D8:D13" si="1">C8-_xlfn.FORECAST.ETS.CONFINT(A8,$B$2:$B$7,$A$2:$A$7,0.95,1,1)</f>
        <v>1396.3864875814616</v>
      </c>
      <c r="E8" s="1">
        <f t="shared" ref="E8:E13" si="2">C8+_xlfn.FORECAST.ETS.CONFINT(A8,$B$2:$B$7,$A$2:$A$7,0.95,1,1)</f>
        <v>4133.6073928077103</v>
      </c>
    </row>
    <row r="9" spans="1:5" x14ac:dyDescent="0.25">
      <c r="A9">
        <v>8</v>
      </c>
      <c r="C9" s="1">
        <f t="shared" si="0"/>
        <v>2826.7077620623436</v>
      </c>
      <c r="D9" s="1">
        <f t="shared" si="1"/>
        <v>1458.0911507160397</v>
      </c>
      <c r="E9" s="1">
        <f t="shared" si="2"/>
        <v>4195.3243734086473</v>
      </c>
    </row>
    <row r="10" spans="1:5" x14ac:dyDescent="0.25">
      <c r="A10">
        <v>9</v>
      </c>
      <c r="C10" s="1">
        <f t="shared" si="0"/>
        <v>2888.4185839301012</v>
      </c>
      <c r="D10" s="1">
        <f t="shared" si="1"/>
        <v>1519.7910237932408</v>
      </c>
      <c r="E10" s="1">
        <f t="shared" si="2"/>
        <v>4257.0461440669615</v>
      </c>
    </row>
    <row r="11" spans="1:5" x14ac:dyDescent="0.25">
      <c r="A11">
        <v>10</v>
      </c>
      <c r="C11" s="1">
        <f t="shared" si="0"/>
        <v>2950.1294057978589</v>
      </c>
      <c r="D11" s="1">
        <f t="shared" si="1"/>
        <v>1581.4847383510994</v>
      </c>
      <c r="E11" s="1">
        <f t="shared" si="2"/>
        <v>4318.7740732446182</v>
      </c>
    </row>
    <row r="12" spans="1:5" x14ac:dyDescent="0.25">
      <c r="A12">
        <v>11</v>
      </c>
      <c r="C12" s="1">
        <f t="shared" si="0"/>
        <v>3011.8402276656166</v>
      </c>
      <c r="D12" s="1">
        <f t="shared" si="1"/>
        <v>1643.1709260682558</v>
      </c>
      <c r="E12" s="1">
        <f t="shared" si="2"/>
        <v>4380.5095292629776</v>
      </c>
    </row>
    <row r="13" spans="1:5" x14ac:dyDescent="0.25">
      <c r="A13">
        <v>12</v>
      </c>
      <c r="C13" s="1">
        <f t="shared" si="0"/>
        <v>3073.5510495333742</v>
      </c>
      <c r="D13" s="1">
        <f t="shared" si="1"/>
        <v>1704.848218832354</v>
      </c>
      <c r="E13" s="1">
        <f t="shared" si="2"/>
        <v>4442.2538802343943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88E36-7478-4A74-B18D-098EFC1FDEFC}">
  <dimension ref="A1:D19"/>
  <sheetViews>
    <sheetView workbookViewId="0">
      <selection sqref="A1:D19"/>
    </sheetView>
  </sheetViews>
  <sheetFormatPr baseColWidth="10"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4" t="s">
        <v>11</v>
      </c>
      <c r="C2" s="4" t="s">
        <v>14</v>
      </c>
      <c r="D2" s="5">
        <v>250</v>
      </c>
    </row>
    <row r="3" spans="1:4" x14ac:dyDescent="0.25">
      <c r="A3" s="4" t="s">
        <v>5</v>
      </c>
      <c r="B3" s="4" t="s">
        <v>12</v>
      </c>
      <c r="C3" s="4" t="s">
        <v>14</v>
      </c>
      <c r="D3" s="5">
        <v>340</v>
      </c>
    </row>
    <row r="4" spans="1:4" x14ac:dyDescent="0.25">
      <c r="A4" s="4" t="s">
        <v>6</v>
      </c>
      <c r="B4" s="4" t="s">
        <v>11</v>
      </c>
      <c r="C4" s="4" t="s">
        <v>14</v>
      </c>
      <c r="D4" s="5">
        <v>560</v>
      </c>
    </row>
    <row r="5" spans="1:4" x14ac:dyDescent="0.25">
      <c r="A5" s="4" t="s">
        <v>7</v>
      </c>
      <c r="B5" s="4" t="s">
        <v>10</v>
      </c>
      <c r="C5" s="4" t="s">
        <v>14</v>
      </c>
      <c r="D5" s="5">
        <v>450</v>
      </c>
    </row>
    <row r="6" spans="1:4" x14ac:dyDescent="0.25">
      <c r="A6" s="4" t="s">
        <v>9</v>
      </c>
      <c r="B6" s="4" t="s">
        <v>12</v>
      </c>
      <c r="C6" s="4" t="s">
        <v>14</v>
      </c>
      <c r="D6" s="5">
        <v>150</v>
      </c>
    </row>
    <row r="7" spans="1:4" x14ac:dyDescent="0.25">
      <c r="A7" s="4" t="s">
        <v>4</v>
      </c>
      <c r="B7" s="4" t="s">
        <v>10</v>
      </c>
      <c r="C7" s="4" t="s">
        <v>13</v>
      </c>
      <c r="D7" s="5">
        <v>140</v>
      </c>
    </row>
    <row r="8" spans="1:4" x14ac:dyDescent="0.25">
      <c r="A8" s="4" t="s">
        <v>5</v>
      </c>
      <c r="B8" s="4" t="s">
        <v>10</v>
      </c>
      <c r="C8" s="4" t="s">
        <v>13</v>
      </c>
      <c r="D8" s="5">
        <v>460</v>
      </c>
    </row>
    <row r="9" spans="1:4" x14ac:dyDescent="0.25">
      <c r="A9" s="4" t="s">
        <v>6</v>
      </c>
      <c r="B9" s="4" t="s">
        <v>12</v>
      </c>
      <c r="C9" s="4" t="s">
        <v>13</v>
      </c>
      <c r="D9" s="5">
        <v>130</v>
      </c>
    </row>
    <row r="10" spans="1:4" x14ac:dyDescent="0.25">
      <c r="A10" s="4" t="s">
        <v>7</v>
      </c>
      <c r="B10" s="4" t="s">
        <v>12</v>
      </c>
      <c r="C10" s="4" t="s">
        <v>13</v>
      </c>
      <c r="D10" s="5">
        <v>980</v>
      </c>
    </row>
    <row r="11" spans="1:4" x14ac:dyDescent="0.25">
      <c r="A11" s="4" t="s">
        <v>8</v>
      </c>
      <c r="B11" s="4" t="s">
        <v>12</v>
      </c>
      <c r="C11" s="4" t="s">
        <v>13</v>
      </c>
      <c r="D11" s="5">
        <v>340</v>
      </c>
    </row>
    <row r="12" spans="1:4" x14ac:dyDescent="0.25">
      <c r="A12" s="4" t="s">
        <v>9</v>
      </c>
      <c r="B12" s="4" t="s">
        <v>12</v>
      </c>
      <c r="C12" s="4" t="s">
        <v>13</v>
      </c>
      <c r="D12" s="5">
        <v>160</v>
      </c>
    </row>
    <row r="13" spans="1:4" x14ac:dyDescent="0.25">
      <c r="A13" s="4" t="s">
        <v>4</v>
      </c>
      <c r="B13" s="4" t="s">
        <v>12</v>
      </c>
      <c r="C13" s="4" t="s">
        <v>15</v>
      </c>
      <c r="D13" s="5">
        <v>1200</v>
      </c>
    </row>
    <row r="14" spans="1:4" x14ac:dyDescent="0.25">
      <c r="A14" s="4" t="s">
        <v>5</v>
      </c>
      <c r="B14" s="4" t="s">
        <v>12</v>
      </c>
      <c r="C14" s="4" t="s">
        <v>15</v>
      </c>
      <c r="D14" s="5">
        <v>1204</v>
      </c>
    </row>
    <row r="15" spans="1:4" x14ac:dyDescent="0.25">
      <c r="A15" s="4" t="s">
        <v>6</v>
      </c>
      <c r="B15" s="4" t="s">
        <v>10</v>
      </c>
      <c r="C15" s="4" t="s">
        <v>15</v>
      </c>
      <c r="D15" s="5">
        <v>670</v>
      </c>
    </row>
    <row r="16" spans="1:4" x14ac:dyDescent="0.25">
      <c r="A16" s="4" t="s">
        <v>7</v>
      </c>
      <c r="B16" s="4" t="s">
        <v>12</v>
      </c>
      <c r="C16" s="4" t="s">
        <v>15</v>
      </c>
      <c r="D16" s="5">
        <v>1000</v>
      </c>
    </row>
    <row r="17" spans="1:4" x14ac:dyDescent="0.25">
      <c r="A17" s="4" t="s">
        <v>8</v>
      </c>
      <c r="B17" s="4" t="s">
        <v>10</v>
      </c>
      <c r="C17" s="4" t="s">
        <v>15</v>
      </c>
      <c r="D17" s="5">
        <v>2500</v>
      </c>
    </row>
    <row r="18" spans="1:4" x14ac:dyDescent="0.25">
      <c r="A18" s="4" t="s">
        <v>8</v>
      </c>
      <c r="B18" s="4" t="s">
        <v>11</v>
      </c>
      <c r="C18" s="4" t="s">
        <v>15</v>
      </c>
      <c r="D18" s="5">
        <v>150</v>
      </c>
    </row>
    <row r="19" spans="1:4" x14ac:dyDescent="0.25">
      <c r="A19" s="4" t="s">
        <v>9</v>
      </c>
      <c r="B19" s="4" t="s">
        <v>11</v>
      </c>
      <c r="C19" s="4" t="s">
        <v>15</v>
      </c>
      <c r="D19" s="5">
        <v>190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130D-B001-4D5F-96D9-949BDB36B6C5}">
  <dimension ref="A2:H9"/>
  <sheetViews>
    <sheetView workbookViewId="0">
      <selection activeCell="E17" sqref="E17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8.85546875" bestFit="1" customWidth="1"/>
    <col min="4" max="4" width="7.7109375" bestFit="1" customWidth="1"/>
    <col min="5" max="5" width="6" bestFit="1" customWidth="1"/>
    <col min="6" max="6" width="6.7109375" bestFit="1" customWidth="1"/>
    <col min="7" max="7" width="6.5703125" bestFit="1" customWidth="1"/>
    <col min="8" max="8" width="12.5703125" bestFit="1" customWidth="1"/>
  </cols>
  <sheetData>
    <row r="2" spans="1:8" x14ac:dyDescent="0.25">
      <c r="A2" s="16" t="s">
        <v>1</v>
      </c>
      <c r="B2" t="s">
        <v>54</v>
      </c>
    </row>
    <row r="4" spans="1:8" x14ac:dyDescent="0.25">
      <c r="A4" s="16" t="s">
        <v>51</v>
      </c>
      <c r="B4" s="16" t="s">
        <v>53</v>
      </c>
    </row>
    <row r="5" spans="1:8" x14ac:dyDescent="0.25">
      <c r="A5" s="16" t="s">
        <v>50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52</v>
      </c>
    </row>
    <row r="6" spans="1:8" x14ac:dyDescent="0.25">
      <c r="A6" s="17" t="s">
        <v>14</v>
      </c>
      <c r="B6">
        <v>250</v>
      </c>
      <c r="C6">
        <v>340</v>
      </c>
      <c r="D6">
        <v>560</v>
      </c>
      <c r="E6">
        <v>450</v>
      </c>
      <c r="G6">
        <v>150</v>
      </c>
      <c r="H6">
        <v>1750</v>
      </c>
    </row>
    <row r="7" spans="1:8" x14ac:dyDescent="0.25">
      <c r="A7" s="17" t="s">
        <v>13</v>
      </c>
      <c r="B7">
        <v>140</v>
      </c>
      <c r="C7">
        <v>460</v>
      </c>
      <c r="D7">
        <v>130</v>
      </c>
      <c r="E7">
        <v>980</v>
      </c>
      <c r="F7">
        <v>340</v>
      </c>
      <c r="G7">
        <v>160</v>
      </c>
      <c r="H7">
        <v>2210</v>
      </c>
    </row>
    <row r="8" spans="1:8" x14ac:dyDescent="0.25">
      <c r="A8" s="17" t="s">
        <v>15</v>
      </c>
      <c r="B8">
        <v>1200</v>
      </c>
      <c r="C8">
        <v>1204</v>
      </c>
      <c r="D8">
        <v>670</v>
      </c>
      <c r="E8">
        <v>1000</v>
      </c>
      <c r="F8">
        <v>2650</v>
      </c>
      <c r="G8">
        <v>190</v>
      </c>
      <c r="H8">
        <v>6914</v>
      </c>
    </row>
    <row r="9" spans="1:8" x14ac:dyDescent="0.25">
      <c r="A9" s="17" t="s">
        <v>52</v>
      </c>
      <c r="B9">
        <v>1590</v>
      </c>
      <c r="C9">
        <v>2004</v>
      </c>
      <c r="D9">
        <v>1360</v>
      </c>
      <c r="E9">
        <v>2430</v>
      </c>
      <c r="F9">
        <v>2990</v>
      </c>
      <c r="G9">
        <v>500</v>
      </c>
      <c r="H9">
        <v>10874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2D25-3C99-4C0A-8C4E-16E074894C02}">
  <dimension ref="A2:H9"/>
  <sheetViews>
    <sheetView workbookViewId="0">
      <selection activeCell="E17" sqref="E17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8.85546875" bestFit="1" customWidth="1"/>
    <col min="4" max="4" width="7.7109375" bestFit="1" customWidth="1"/>
    <col min="5" max="5" width="6" bestFit="1" customWidth="1"/>
    <col min="6" max="6" width="6.7109375" bestFit="1" customWidth="1"/>
    <col min="7" max="7" width="6.5703125" bestFit="1" customWidth="1"/>
    <col min="8" max="8" width="12.5703125" bestFit="1" customWidth="1"/>
  </cols>
  <sheetData>
    <row r="2" spans="1:8" x14ac:dyDescent="0.25">
      <c r="A2" s="16" t="s">
        <v>1</v>
      </c>
      <c r="B2" t="s">
        <v>54</v>
      </c>
    </row>
    <row r="4" spans="1:8" x14ac:dyDescent="0.25">
      <c r="A4" s="16" t="s">
        <v>51</v>
      </c>
      <c r="B4" s="16" t="s">
        <v>53</v>
      </c>
    </row>
    <row r="5" spans="1:8" x14ac:dyDescent="0.25">
      <c r="A5" s="16" t="s">
        <v>50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52</v>
      </c>
    </row>
    <row r="6" spans="1:8" x14ac:dyDescent="0.25">
      <c r="A6" s="17" t="s">
        <v>14</v>
      </c>
      <c r="B6">
        <v>250</v>
      </c>
      <c r="C6">
        <v>340</v>
      </c>
      <c r="D6">
        <v>560</v>
      </c>
      <c r="E6">
        <v>450</v>
      </c>
      <c r="G6">
        <v>150</v>
      </c>
      <c r="H6">
        <v>1750</v>
      </c>
    </row>
    <row r="7" spans="1:8" x14ac:dyDescent="0.25">
      <c r="A7" s="17" t="s">
        <v>13</v>
      </c>
      <c r="B7">
        <v>140</v>
      </c>
      <c r="C7">
        <v>460</v>
      </c>
      <c r="D7">
        <v>130</v>
      </c>
      <c r="E7">
        <v>980</v>
      </c>
      <c r="F7">
        <v>340</v>
      </c>
      <c r="G7">
        <v>160</v>
      </c>
      <c r="H7">
        <v>2210</v>
      </c>
    </row>
    <row r="8" spans="1:8" x14ac:dyDescent="0.25">
      <c r="A8" s="17" t="s">
        <v>15</v>
      </c>
      <c r="B8">
        <v>1200</v>
      </c>
      <c r="C8">
        <v>1204</v>
      </c>
      <c r="D8">
        <v>670</v>
      </c>
      <c r="E8">
        <v>1000</v>
      </c>
      <c r="F8">
        <v>2650</v>
      </c>
      <c r="G8">
        <v>190</v>
      </c>
      <c r="H8">
        <v>6914</v>
      </c>
    </row>
    <row r="9" spans="1:8" x14ac:dyDescent="0.25">
      <c r="A9" s="17" t="s">
        <v>52</v>
      </c>
      <c r="B9">
        <v>1590</v>
      </c>
      <c r="C9">
        <v>2004</v>
      </c>
      <c r="D9">
        <v>1360</v>
      </c>
      <c r="E9">
        <v>2430</v>
      </c>
      <c r="F9">
        <v>2990</v>
      </c>
      <c r="G9">
        <v>500</v>
      </c>
      <c r="H9">
        <v>10874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5263-D2B3-409D-AF18-07282223EE0F}">
  <dimension ref="A1:B8"/>
  <sheetViews>
    <sheetView workbookViewId="0">
      <selection activeCell="A8" sqref="A8"/>
    </sheetView>
  </sheetViews>
  <sheetFormatPr baseColWidth="10" defaultRowHeight="15" x14ac:dyDescent="0.25"/>
  <sheetData>
    <row r="1" spans="1:2" x14ac:dyDescent="0.25">
      <c r="A1" s="4" t="s">
        <v>29</v>
      </c>
      <c r="B1" s="4" t="s">
        <v>16</v>
      </c>
    </row>
    <row r="2" spans="1:2" x14ac:dyDescent="0.25">
      <c r="A2" s="4" t="s">
        <v>55</v>
      </c>
      <c r="B2" s="5">
        <v>100.7</v>
      </c>
    </row>
    <row r="3" spans="1:2" x14ac:dyDescent="0.25">
      <c r="A3" s="4" t="s">
        <v>56</v>
      </c>
      <c r="B3" s="18">
        <v>0.05</v>
      </c>
    </row>
    <row r="4" spans="1:2" x14ac:dyDescent="0.25">
      <c r="A4" s="4" t="s">
        <v>57</v>
      </c>
      <c r="B4" s="5">
        <v>56.8</v>
      </c>
    </row>
    <row r="5" spans="1:2" x14ac:dyDescent="0.25">
      <c r="A5" s="4" t="s">
        <v>56</v>
      </c>
      <c r="B5" s="18">
        <v>0.03</v>
      </c>
    </row>
    <row r="6" spans="1:2" x14ac:dyDescent="0.25">
      <c r="A6" s="4" t="s">
        <v>58</v>
      </c>
      <c r="B6" s="4">
        <v>240</v>
      </c>
    </row>
    <row r="7" spans="1:2" x14ac:dyDescent="0.25">
      <c r="A7" s="19" t="s">
        <v>59</v>
      </c>
      <c r="B7" s="20">
        <f>((B2-B2*B3)-(B4-B4*B5))*B6</f>
        <v>9736.5600000000031</v>
      </c>
    </row>
    <row r="8" spans="1:2" x14ac:dyDescent="0.25">
      <c r="B8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C8504-98CF-4805-B007-980B4986F8A3}">
  <dimension ref="A1:F19"/>
  <sheetViews>
    <sheetView tabSelected="1" workbookViewId="0">
      <selection activeCell="B12" sqref="B12"/>
    </sheetView>
  </sheetViews>
  <sheetFormatPr baseColWidth="10" defaultRowHeight="15" x14ac:dyDescent="0.25"/>
  <cols>
    <col min="1" max="1" width="20.28515625" bestFit="1" customWidth="1"/>
  </cols>
  <sheetData>
    <row r="1" spans="1:6" x14ac:dyDescent="0.25">
      <c r="A1" t="s">
        <v>55</v>
      </c>
      <c r="B1" s="1">
        <v>10.9</v>
      </c>
    </row>
    <row r="2" spans="1:6" x14ac:dyDescent="0.25">
      <c r="A2" t="s">
        <v>60</v>
      </c>
      <c r="B2" s="14">
        <v>7.0000000000000007E-2</v>
      </c>
    </row>
    <row r="3" spans="1:6" x14ac:dyDescent="0.25">
      <c r="A3" t="s">
        <v>61</v>
      </c>
      <c r="B3" s="21">
        <f>B1-B1*B2</f>
        <v>10.137</v>
      </c>
      <c r="C3" s="24">
        <v>7.0000000000000007E-2</v>
      </c>
      <c r="D3" s="18">
        <v>0.08</v>
      </c>
      <c r="E3" s="18">
        <v>0.1</v>
      </c>
      <c r="F3" s="18">
        <v>0.12</v>
      </c>
    </row>
    <row r="4" spans="1:6" x14ac:dyDescent="0.25">
      <c r="B4" s="23">
        <v>10.9</v>
      </c>
      <c r="C4" s="22">
        <f t="dataTable" ref="C4:F7" dt2D="1" dtr="1" r1="B2" r2="B1"/>
        <v>10.137</v>
      </c>
      <c r="D4" s="8">
        <v>10.028</v>
      </c>
      <c r="E4" s="8">
        <v>9.81</v>
      </c>
      <c r="F4" s="8">
        <v>9.5920000000000005</v>
      </c>
    </row>
    <row r="5" spans="1:6" x14ac:dyDescent="0.25">
      <c r="B5" s="5">
        <v>11.2</v>
      </c>
      <c r="C5" s="8">
        <v>10.415999999999999</v>
      </c>
      <c r="D5" s="8">
        <v>10.303999999999998</v>
      </c>
      <c r="E5" s="8">
        <v>10.08</v>
      </c>
      <c r="F5" s="8">
        <v>9.8559999999999999</v>
      </c>
    </row>
    <row r="6" spans="1:6" x14ac:dyDescent="0.25">
      <c r="B6" s="5">
        <v>14.5</v>
      </c>
      <c r="C6" s="8">
        <v>13.484999999999999</v>
      </c>
      <c r="D6" s="8">
        <v>13.34</v>
      </c>
      <c r="E6" s="8">
        <v>13.05</v>
      </c>
      <c r="F6" s="8">
        <v>12.76</v>
      </c>
    </row>
    <row r="7" spans="1:6" x14ac:dyDescent="0.25">
      <c r="B7" s="5">
        <v>17.8</v>
      </c>
      <c r="C7" s="8">
        <v>16.554000000000002</v>
      </c>
      <c r="D7" s="8">
        <v>16.376000000000001</v>
      </c>
      <c r="E7" s="8">
        <v>16.02</v>
      </c>
      <c r="F7" s="8">
        <v>15.664000000000001</v>
      </c>
    </row>
    <row r="11" spans="1:6" x14ac:dyDescent="0.25">
      <c r="A11" t="s">
        <v>57</v>
      </c>
      <c r="B11" s="1">
        <v>7.5</v>
      </c>
      <c r="C11" s="1"/>
      <c r="D11" s="1"/>
    </row>
    <row r="12" spans="1:6" x14ac:dyDescent="0.25">
      <c r="A12" t="s">
        <v>60</v>
      </c>
      <c r="B12" s="14">
        <v>0.06</v>
      </c>
    </row>
    <row r="13" spans="1:6" x14ac:dyDescent="0.25">
      <c r="A13" t="s">
        <v>62</v>
      </c>
      <c r="B13" s="5">
        <f>B11-B11*B12</f>
        <v>7.05</v>
      </c>
      <c r="C13" s="5">
        <v>6.7</v>
      </c>
      <c r="D13" s="5">
        <v>7.2</v>
      </c>
      <c r="E13" s="5">
        <v>9.3000000000000007</v>
      </c>
    </row>
    <row r="14" spans="1:6" x14ac:dyDescent="0.25">
      <c r="B14" s="18">
        <v>0.03</v>
      </c>
      <c r="C14" s="5">
        <f t="dataTable" ref="C14:E16" dt2D="1" dtr="1" r1="B11" r2="B12"/>
        <v>6.4990000000000006</v>
      </c>
      <c r="D14" s="5">
        <v>6.984</v>
      </c>
      <c r="E14" s="5">
        <v>9.0210000000000008</v>
      </c>
    </row>
    <row r="15" spans="1:6" x14ac:dyDescent="0.25">
      <c r="B15" s="18">
        <v>0.06</v>
      </c>
      <c r="C15" s="5">
        <v>6.298</v>
      </c>
      <c r="D15" s="5">
        <v>6.7679999999999998</v>
      </c>
      <c r="E15" s="5">
        <v>8.7420000000000009</v>
      </c>
    </row>
    <row r="16" spans="1:6" x14ac:dyDescent="0.25">
      <c r="B16" s="18">
        <v>0.01</v>
      </c>
      <c r="C16" s="5">
        <v>6.633</v>
      </c>
      <c r="D16" s="5">
        <v>7.1280000000000001</v>
      </c>
      <c r="E16" s="5">
        <v>9.2070000000000007</v>
      </c>
    </row>
    <row r="19" spans="4:4" x14ac:dyDescent="0.25">
      <c r="D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14</vt:i4>
      </vt:variant>
      <vt:variant>
        <vt:lpstr>Gráficos</vt:lpstr>
      </vt:variant>
      <vt:variant>
        <vt:i4>3</vt:i4>
      </vt:variant>
      <vt:variant>
        <vt:lpstr>Rangos con nombre</vt:lpstr>
      </vt:variant>
      <vt:variant>
        <vt:i4>9</vt:i4>
      </vt:variant>
    </vt:vector>
  </HeadingPairs>
  <TitlesOfParts>
    <vt:vector size="26" baseType="lpstr">
      <vt:lpstr>PPTX</vt:lpstr>
      <vt:lpstr>EJERCICIO 1</vt:lpstr>
      <vt:lpstr>EJERCICIO 2</vt:lpstr>
      <vt:lpstr>EJERCICIO 3</vt:lpstr>
      <vt:lpstr>EJERCICIO 4</vt:lpstr>
      <vt:lpstr>EJERCICIO 5</vt:lpstr>
      <vt:lpstr>EJERCICIO 6</vt:lpstr>
      <vt:lpstr>EJERCICIO 7</vt:lpstr>
      <vt:lpstr>PREVISION</vt:lpstr>
      <vt:lpstr>EJERCICIO 8</vt:lpstr>
      <vt:lpstr>TABLA DINÁMICA</vt:lpstr>
      <vt:lpstr>TABLA DINÁMICA 2</vt:lpstr>
      <vt:lpstr>EJERCICIO 9</vt:lpstr>
      <vt:lpstr>EJERCICIO 10</vt:lpstr>
      <vt:lpstr>RESULTADOS 3</vt:lpstr>
      <vt:lpstr>RESULTADOS 5</vt:lpstr>
      <vt:lpstr>GRÁFICO DINÁMICO</vt:lpstr>
      <vt:lpstr>ABRIL</vt:lpstr>
      <vt:lpstr>'EJERCICIO 1'!Área_de_extracción</vt:lpstr>
      <vt:lpstr>'EJERCICIO 6'!Área_de_extracción</vt:lpstr>
      <vt:lpstr>'EJERCICIO 1'!Criterios</vt:lpstr>
      <vt:lpstr>ENERO</vt:lpstr>
      <vt:lpstr>FEBRERO</vt:lpstr>
      <vt:lpstr>JUNIO</vt:lpstr>
      <vt:lpstr>MARZO</vt:lpstr>
      <vt:lpstr>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alvarado</dc:creator>
  <cp:lastModifiedBy>fabi0</cp:lastModifiedBy>
  <dcterms:created xsi:type="dcterms:W3CDTF">2015-06-05T18:17:20Z</dcterms:created>
  <dcterms:modified xsi:type="dcterms:W3CDTF">2025-12-05T02:10:26Z</dcterms:modified>
</cp:coreProperties>
</file>